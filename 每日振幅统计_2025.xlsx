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436b64945343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9e8cbbc894ae41c3"/>
    <x:sheet xmlns:r="http://schemas.openxmlformats.org/officeDocument/2006/relationships" name="中证1000" sheetId="2" r:id="Re0606d36dd984ddb"/>
    <x:sheet xmlns:r="http://schemas.openxmlformats.org/officeDocument/2006/relationships" name="中证500" sheetId="3" r:id="R85646d0dd5264ec7"/>
    <x:sheet xmlns:r="http://schemas.openxmlformats.org/officeDocument/2006/relationships" name="上证指数" sheetId="4" r:id="Rba5a538c1fd64f88"/>
    <x:sheet xmlns:r="http://schemas.openxmlformats.org/officeDocument/2006/relationships" name="IM主力" sheetId="5" r:id="Rf7c243f498e14ec8"/>
    <x:sheet xmlns:r="http://schemas.openxmlformats.org/officeDocument/2006/relationships" name="IC主力" sheetId="6" r:id="R55dedad416de4851"/>
    <x:sheet xmlns:r="http://schemas.openxmlformats.org/officeDocument/2006/relationships" name="IF主力" sheetId="7" r:id="R981a5166d51a4e68"/>
    <x:sheet xmlns:r="http://schemas.openxmlformats.org/officeDocument/2006/relationships" name="IH主力" sheetId="8" r:id="Rf7db46daf28b4e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General"/>
    <x:numFmt numFmtId="201" formatCode="0.0%"/>
  </x:numFmts>
  <x:fonts count="10">
    <x:font>
      <x:sz val="11"/>
      <x:name val="Carlito"/>
    </x:font>
    <x:font>
      <x:b/>
      <x:sz val="18"/>
      <x:color rgb="FF7030A0"/>
      <x:name val="Carlito"/>
    </x:font>
    <x:font>
      <x:b/>
      <x:sz val="11"/>
      <x:name val="Carlito"/>
    </x:font>
    <x:font>
      <x:b/>
      <x:sz val="11"/>
      <x:color rgb="FFB91C1C"/>
      <x:name val="Carlito"/>
    </x:font>
    <x:font>
      <x:b/>
      <x:sz val="14"/>
      <x:color rgb="FF7030A0"/>
      <x:name val="Carlito"/>
    </x:font>
    <x:font>
      <x:b/>
      <x:sz val="11"/>
      <x:color rgb="FF111827"/>
      <x:name val="Carlito"/>
    </x:font>
    <x:font>
      <x:sz val="11"/>
      <x:color rgb="FF1F2937"/>
      <x:name val="Carlito"/>
    </x:font>
    <x:font>
      <x:b/>
      <x:sz val="11"/>
      <x:color rgb="FF1D4ED8"/>
      <x:name val="Carlito"/>
    </x:font>
    <x:font>
      <x:b/>
      <x:sz val="11"/>
      <x:color rgb="FFE11D48"/>
      <x:name val="Carlito"/>
    </x:font>
    <x:font>
      <x:b/>
      <x:sz val="11"/>
      <x:color rgb="FF1E3A8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F3F4F6"/>
      </x:patternFill>
    </x:fill>
    <x:fill>
      <x:patternFill patternType="solid">
        <x:fgColor rgb="FFFEF9C3"/>
      </x:patternFill>
    </x:fill>
    <x:fill>
      <x:patternFill patternType="solid">
        <x:fgColor rgb="FFBFDBFE"/>
      </x:patternFill>
    </x:fill>
    <x:fill>
      <x:patternFill patternType="solid">
        <x:fgColor rgb="FFFFFF00"/>
      </x:patternFill>
    </x:fill>
    <x:fill>
      <x:patternFill patternType="solid">
        <x:fgColor rgb="FFDBEAFE"/>
      </x:patternFill>
    </x:fill>
  </x:fills>
  <x:borders count="3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horizontal="center"/>
    </x:xf>
    <x:xf numFmtId="200" fontId="0" fillId="0" borderId="2" xfId="0" applyNumberFormat="1" applyFont="1" applyFill="1" applyBorder="1" applyAlignment="1">
      <x:alignment horizontal="center"/>
    </x:xf>
    <x:xf numFmtId="200" fontId="0" fillId="4" borderId="2" xfId="0" applyNumberFormat="1" applyFont="1" applyFill="1" applyBorder="1" applyAlignment="1">
      <x:alignment horizontal="center"/>
    </x:xf>
    <x:xf numFmtId="200" fontId="3" fillId="4" borderId="2" xfId="0" applyNumberFormat="1" applyFont="1" applyFill="1" applyBorder="1" applyAlignment="1">
      <x:alignment horizontal="center"/>
    </x:xf>
    <x:xf numFmtId="0" fontId="0" fillId="3" borderId="2" xfId="0" applyNumberFormat="1" applyFont="1" applyFill="1" applyBorder="1"/>
    <x:xf numFmtId="0" fontId="2" fillId="3" borderId="2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horizontal="center" vertical="center"/>
    </x:xf>
    <x:xf numFmtId="200" fontId="6" fillId="0" borderId="2" xfId="0" applyNumberFormat="1" applyFont="1" applyFill="1" applyBorder="1" applyAlignment="1">
      <x:alignment horizontal="center" vertical="center"/>
    </x:xf>
    <x:xf numFmtId="201" fontId="6" fillId="0" borderId="2" xfId="0" applyNumberFormat="1" applyFont="1" applyFill="1" applyBorder="1" applyAlignment="1">
      <x:alignment horizontal="center" vertical="center"/>
    </x:xf>
    <x:xf numFmtId="200" fontId="6" fillId="5" borderId="2" xfId="0" applyNumberFormat="1" applyFont="1" applyFill="1" applyBorder="1" applyAlignment="1">
      <x:alignment horizontal="center" vertical="center"/>
    </x:xf>
    <x:xf numFmtId="200" fontId="7" fillId="5" borderId="2" xfId="0" applyNumberFormat="1" applyFont="1" applyFill="1" applyBorder="1" applyAlignment="1">
      <x:alignment horizontal="center" vertical="center"/>
    </x:xf>
    <x:xf numFmtId="200" fontId="6" fillId="6" borderId="2" xfId="0" applyNumberFormat="1" applyFont="1" applyFill="1" applyBorder="1" applyAlignment="1">
      <x:alignment horizontal="center" vertical="center"/>
    </x:xf>
    <x:xf numFmtId="200" fontId="8" fillId="6" borderId="2" xfId="0" applyNumberFormat="1" applyFont="1" applyFill="1" applyBorder="1" applyAlignment="1">
      <x:alignment horizontal="center" vertical="center"/>
    </x:xf>
    <x:xf numFmtId="0" fontId="6" fillId="7" borderId="2" xfId="0" applyNumberFormat="1" applyFont="1" applyFill="1" applyBorder="1" applyAlignment="1">
      <x:alignment horizontal="center" vertical="center"/>
    </x:xf>
    <x:xf numFmtId="200" fontId="6" fillId="7" borderId="2" xfId="0" applyNumberFormat="1" applyFont="1" applyFill="1" applyBorder="1" applyAlignment="1">
      <x:alignment horizontal="center" vertical="center"/>
    </x:xf>
    <x:xf numFmtId="201" fontId="6" fillId="7" borderId="2" xfId="0" applyNumberFormat="1" applyFont="1" applyFill="1" applyBorder="1" applyAlignment="1">
      <x:alignment horizontal="center" vertical="center"/>
    </x:xf>
    <x:xf numFmtId="0" fontId="9" fillId="7" borderId="2" xfId="0" applyNumberFormat="1" applyFont="1" applyFill="1" applyBorder="1" applyAlignment="1">
      <x:alignment horizontal="center" vertical="center"/>
    </x:xf>
    <x:xf numFmtId="200" fontId="9" fillId="7" borderId="2" xfId="0" applyNumberFormat="1" applyFont="1" applyFill="1" applyBorder="1" applyAlignment="1">
      <x:alignment horizontal="center" vertical="center"/>
    </x:xf>
    <x:xf numFmtId="201" fontId="9" fillId="7" borderId="2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center"/>
    </x:xf>
    <x:xf numFmtId="200" fontId="0" fillId="6" borderId="1" xfId="0" applyNumberFormat="1" applyFont="1" applyFill="1" applyBorder="1" applyAlignment="1">
      <x:alignment horizontal="center"/>
    </x:xf>
    <x:xf numFmtId="200" fontId="8" fillId="6" borderId="1" xfId="0" applyNumberFormat="1" applyFont="1" applyFill="1" applyBorder="1" applyAlignment="1">
      <x:alignment horizontal="center"/>
    </x:xf>
    <x:xf numFmtId="200" fontId="9" fillId="5" borderId="2" xfId="0" applyNumberFormat="1" applyFont="1" applyFill="1" applyBorder="1" applyAlignment="1">
      <x:alignment horizontal="center" vertical="center"/>
    </x:xf>
    <x:xf numFmtId="200" fontId="9" fillId="6" borderId="2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24a80554dd4cbb" /><Relationship Type="http://schemas.openxmlformats.org/officeDocument/2006/relationships/theme" Target="/xl/theme/theme1.xml" Id="R38a8c33b527f4495" /><Relationship Type="http://schemas.openxmlformats.org/officeDocument/2006/relationships/sharedStrings" Target="/xl/sharedStrings.xml" Id="Re9be1d3f3095434d" /><Relationship Type="http://schemas.openxmlformats.org/officeDocument/2006/relationships/worksheet" Target="/xl/worksheets/sheet1.xml" Id="R9e8cbbc894ae41c3" /><Relationship Type="http://schemas.openxmlformats.org/officeDocument/2006/relationships/worksheet" Target="/xl/worksheets/sheet2.xml" Id="Re0606d36dd984ddb" /><Relationship Type="http://schemas.openxmlformats.org/officeDocument/2006/relationships/worksheet" Target="/xl/worksheets/sheet3.xml" Id="R85646d0dd5264ec7" /><Relationship Type="http://schemas.openxmlformats.org/officeDocument/2006/relationships/worksheet" Target="/xl/worksheets/sheet4.xml" Id="Rba5a538c1fd64f88" /><Relationship Type="http://schemas.openxmlformats.org/officeDocument/2006/relationships/worksheet" Target="/xl/worksheets/sheet5.xml" Id="Rf7c243f498e14ec8" /><Relationship Type="http://schemas.openxmlformats.org/officeDocument/2006/relationships/worksheet" Target="/xl/worksheets/sheet6.xml" Id="R55dedad416de4851" /><Relationship Type="http://schemas.openxmlformats.org/officeDocument/2006/relationships/worksheet" Target="/xl/worksheets/sheet7.xml" Id="R981a5166d51a4e68" /><Relationship Type="http://schemas.openxmlformats.org/officeDocument/2006/relationships/worksheet" Target="/xl/worksheets/sheet8.xml" Id="Rf7db46daf28b4e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12" hidden="0" customWidth="1"/>
    <x:col min="4" max="4" width="4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</x:cols>
  <x:sheetData>
    <x:row r="1" ht="38" customHeight="1">
      <x:c r="A1" s="3" t="str">
        <x:v>2025年统计 - 每日振幅汇总</x:v>
      </x:c>
    </x:row>
    <x:row r="3">
      <x:c r="A3" s="6" t="str">
        <x:v>标的</x:v>
      </x:c>
      <x:c r="B3" s="6" t="str">
        <x:v>最新日期</x:v>
      </x:c>
      <x:c r="C3" s="6" t="str">
        <x:v>最新高点</x:v>
      </x:c>
      <x:c r="D3" s="6" t="str">
        <x:v>最新低点</x:v>
      </x:c>
      <x:c r="E3" s="6" t="str">
        <x:v>最新振幅</x:v>
      </x:c>
      <x:c r="F3" s="6" t="str">
        <x:v>交易日</x:v>
      </x:c>
      <x:c r="G3" s="6" t="str">
        <x:v>振幅合计</x:v>
      </x:c>
      <x:c r="H3" s="6" t="str">
        <x:v>振幅均值</x:v>
      </x:c>
      <x:c r="I3" s="6" t="str">
        <x:v>高振幅阈值</x:v>
      </x:c>
    </x:row>
    <x:row r="4">
      <x:c r="A4" s="9" t="str">
        <x:v>中证1000</x:v>
      </x:c>
      <x:c r="B4" s="9" t="str">
        <x:v>2025-12-31</x:v>
      </x:c>
      <x:c r="C4" s="10" t="n">
        <x:v>7619.221</x:v>
      </x:c>
      <x:c r="D4" s="10" t="n">
        <x:v>7560.723</x:v>
      </x:c>
      <x:c r="E4" s="12" t="n">
        <x:v>58.5</x:v>
      </x:c>
      <x:c r="F4" s="9" t="n">
        <x:v>243</x:v>
      </x:c>
      <x:c r="G4" s="10" t="n">
        <x:v>26500.9</x:v>
      </x:c>
      <x:c r="H4" s="10" t="n">
        <x:v>109.1</x:v>
      </x:c>
      <x:c r="I4" s="10" t="n">
        <x:v>180</x:v>
      </x:c>
    </x:row>
    <x:row r="5">
      <x:c r="A5" s="9" t="str">
        <x:v>中证500</x:v>
      </x:c>
      <x:c r="B5" s="9" t="str">
        <x:v>2025-12-31</x:v>
      </x:c>
      <x:c r="C5" s="10" t="n">
        <x:v>7488.066</x:v>
      </x:c>
      <x:c r="D5" s="10" t="n">
        <x:v>7435.066</x:v>
      </x:c>
      <x:c r="E5" s="12" t="n">
        <x:v>53</x:v>
      </x:c>
      <x:c r="F5" s="9" t="n">
        <x:v>243</x:v>
      </x:c>
      <x:c r="G5" s="10" t="n">
        <x:v>23116.7</x:v>
      </x:c>
      <x:c r="H5" s="10" t="n">
        <x:v>95.1</x:v>
      </x:c>
      <x:c r="I5" s="10" t="n">
        <x:v>160</x:v>
      </x:c>
    </x:row>
    <x:row r="6">
      <x:c r="A6" s="9" t="str">
        <x:v>上证指数</x:v>
      </x:c>
      <x:c r="B6" s="9" t="str">
        <x:v>2025-12-31</x:v>
      </x:c>
      <x:c r="C6" s="10" t="n">
        <x:v>3977.536</x:v>
      </x:c>
      <x:c r="D6" s="10" t="n">
        <x:v>3955.487</x:v>
      </x:c>
      <x:c r="E6" s="12" t="n">
        <x:v>22</x:v>
      </x:c>
      <x:c r="F6" s="9" t="n">
        <x:v>243</x:v>
      </x:c>
      <x:c r="G6" s="10" t="n">
        <x:v>8706.3</x:v>
      </x:c>
      <x:c r="H6" s="10" t="n">
        <x:v>35.8</x:v>
      </x:c>
      <x:c r="I6" s="10" t="n">
        <x:v>50</x:v>
      </x:c>
    </x:row>
    <x:row r="7">
      <x:c r="A7" s="9" t="str">
        <x:v>IM主力</x:v>
      </x:c>
      <x:c r="B7" s="9" t="str">
        <x:v>2025-12-31</x:v>
      </x:c>
      <x:c r="C7" s="10" t="n">
        <x:v>7475.8</x:v>
      </x:c>
      <x:c r="D7" s="10" t="n">
        <x:v>7406</x:v>
      </x:c>
      <x:c r="E7" s="12" t="n">
        <x:v>69.8</x:v>
      </x:c>
      <x:c r="F7" s="9" t="n">
        <x:v>243</x:v>
      </x:c>
      <x:c r="G7" s="10" t="n">
        <x:v>29408.4</x:v>
      </x:c>
      <x:c r="H7" s="10" t="n">
        <x:v>121</x:v>
      </x:c>
      <x:c r="I7" s="10" t="n">
        <x:v>190</x:v>
      </x:c>
    </x:row>
    <x:row r="8">
      <x:c r="A8" s="9" t="str">
        <x:v>IC主力</x:v>
      </x:c>
      <x:c r="B8" s="9" t="str">
        <x:v>2025-12-31</x:v>
      </x:c>
      <x:c r="C8" s="10" t="n">
        <x:v>7400.2</x:v>
      </x:c>
      <x:c r="D8" s="10" t="n">
        <x:v>7335</x:v>
      </x:c>
      <x:c r="E8" s="12" t="n">
        <x:v>65.2</x:v>
      </x:c>
      <x:c r="F8" s="9" t="n">
        <x:v>243</x:v>
      </x:c>
      <x:c r="G8" s="10" t="n">
        <x:v>26578.4</x:v>
      </x:c>
      <x:c r="H8" s="10" t="n">
        <x:v>109.4</x:v>
      </x:c>
      <x:c r="I8" s="10" t="n">
        <x:v>150</x:v>
      </x:c>
    </x:row>
    <x:row r="9">
      <x:c r="A9" s="9" t="str">
        <x:v>IF主力</x:v>
      </x:c>
      <x:c r="B9" s="9" t="str">
        <x:v>2025-12-31</x:v>
      </x:c>
      <x:c r="C9" s="10" t="n">
        <x:v>4634.6</x:v>
      </x:c>
      <x:c r="D9" s="10" t="n">
        <x:v>4581.2</x:v>
      </x:c>
      <x:c r="E9" s="12" t="n">
        <x:v>53.4</x:v>
      </x:c>
      <x:c r="F9" s="9" t="n">
        <x:v>243</x:v>
      </x:c>
      <x:c r="G9" s="10" t="n">
        <x:v>13343.6</x:v>
      </x:c>
      <x:c r="H9" s="10" t="n">
        <x:v>54.9</x:v>
      </x:c>
      <x:c r="I9" s="10" t="n">
        <x:v>90</x:v>
      </x:c>
    </x:row>
    <x:row r="10">
      <x:c r="A10" s="9" t="str">
        <x:v>IH主力</x:v>
      </x:c>
      <x:c r="B10" s="9" t="str">
        <x:v>2025-12-31</x:v>
      </x:c>
      <x:c r="C10" s="10" t="n">
        <x:v>3046.8</x:v>
      </x:c>
      <x:c r="D10" s="10" t="n">
        <x:v>3015</x:v>
      </x:c>
      <x:c r="E10" s="12" t="n">
        <x:v>31.8</x:v>
      </x:c>
      <x:c r="F10" s="9" t="n">
        <x:v>243</x:v>
      </x:c>
      <x:c r="G10" s="10" t="n">
        <x:v>8422</x:v>
      </x:c>
      <x:c r="H10" s="10" t="n">
        <x:v>34.7</x:v>
      </x:c>
      <x:c r="I10" s="10" t="n">
        <x:v>60</x:v>
      </x:c>
    </x:row>
    <x:row r="13">
      <x:c r="A13" s="14" t="str">
        <x:v>统计区间</x:v>
      </x:c>
      <x:c r="B13" s="14" t="str">
        <x:v>2025-01-01</x:v>
      </x:c>
      <x:c r="C13" s="14" t="str">
        <x:v>2025-12-31</x:v>
      </x:c>
      <x:c r="D13" s="14" t="str">
        <x:v>数据源</x:v>
      </x:c>
    </x:row>
    <x:row r="14">
      <x:c r="A14" s="7" t="str">
        <x:v>中证1000</x:v>
      </x:c>
      <x:c r="B14" s="7" t="str">
        <x:v>sh000852</x:v>
      </x:c>
      <x:c r="C14" s="7" t="str">
        <x:v>指数日线</x:v>
      </x:c>
      <x:c r="D14" s="7" t="str">
        <x:v>https://money.finance.sina.com.cn/quotes_service/api/json_v2.php/CN_MarketData.getKLineData?symbol=sh000852&amp;scale=240&amp;ma=no&amp;datalen=80</x:v>
      </x:c>
    </x:row>
    <x:row r="15">
      <x:c r="A15" s="7" t="str">
        <x:v>中证500</x:v>
      </x:c>
      <x:c r="B15" s="7" t="str">
        <x:v>sh000905</x:v>
      </x:c>
      <x:c r="C15" s="7" t="str">
        <x:v>指数日线</x:v>
      </x:c>
      <x:c r="D15" s="7" t="str">
        <x:v>https://money.finance.sina.com.cn/quotes_service/api/json_v2.php/CN_MarketData.getKLineData?symbol=sh000905&amp;scale=240&amp;ma=no&amp;datalen=80</x:v>
      </x:c>
    </x:row>
    <x:row r="16">
      <x:c r="A16" s="7" t="str">
        <x:v>上证指数</x:v>
      </x:c>
      <x:c r="B16" s="7" t="str">
        <x:v>sh000001</x:v>
      </x:c>
      <x:c r="C16" s="7" t="str">
        <x:v>指数日线</x:v>
      </x:c>
      <x:c r="D16" s="7" t="str">
        <x:v>https://money.finance.sina.com.cn/quotes_service/api/json_v2.php/CN_MarketData.getKLineData?symbol=sh000001&amp;scale=240&amp;ma=no&amp;datalen=80</x:v>
      </x:c>
    </x:row>
    <x:row r="17">
      <x:c r="A17" s="7" t="str">
        <x:v>IM主力</x:v>
      </x:c>
      <x:c r="B17" s="7" t="str">
        <x:v>IM0</x:v>
      </x:c>
      <x:c r="C17" s="7" t="str">
        <x:v>用主连确定交易日，再按标的列的具体合约取日线</x:v>
      </x:c>
      <x:c r="D17" s="7" t="str">
        <x:v>https://stock2.finance.sina.com.cn/futures/api/json.php/InnerFuturesNewService.getDailyKLine?symbol=IM0</x:v>
      </x:c>
    </x:row>
    <x:row r="18">
      <x:c r="A18" s="7" t="str">
        <x:v>IC主力</x:v>
      </x:c>
      <x:c r="B18" s="7" t="str">
        <x:v>IC0</x:v>
      </x:c>
      <x:c r="C18" s="7" t="str">
        <x:v>用主连确定交易日，再按标的列的具体合约取日线</x:v>
      </x:c>
      <x:c r="D18" s="7" t="str">
        <x:v>https://stock2.finance.sina.com.cn/futures/api/json.php/InnerFuturesNewService.getDailyKLine?symbol=IC0</x:v>
      </x:c>
    </x:row>
    <x:row r="19">
      <x:c r="A19" s="7" t="str">
        <x:v>IF主力</x:v>
      </x:c>
      <x:c r="B19" s="7" t="str">
        <x:v>IF0</x:v>
      </x:c>
      <x:c r="C19" s="7" t="str">
        <x:v>用主连确定交易日，再按标的列的具体合约取日线</x:v>
      </x:c>
      <x:c r="D19" s="7" t="str">
        <x:v>https://stock2.finance.sina.com.cn/futures/api/json.php/InnerFuturesNewService.getDailyKLine?symbol=IF0</x:v>
      </x:c>
    </x:row>
    <x:row r="20">
      <x:c r="A20" s="7" t="str">
        <x:v>IH主力</x:v>
      </x:c>
      <x:c r="B20" s="7" t="str">
        <x:v>IH0</x:v>
      </x:c>
      <x:c r="C20" s="7" t="str">
        <x:v>用主连确定交易日，再按标的列的具体合约取日线</x:v>
      </x:c>
      <x:c r="D20" s="7" t="str">
        <x:v>https://stock2.finance.sina.com.cn/futures/api/json.php/InnerFuturesNewService.getDailyKLine?symbol=IH0</x:v>
      </x:c>
    </x:row>
  </x:sheetData>
  <x:mergeCells>
    <x:mergeCell ref="A1:I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4" hidden="0" customWidth="1"/>
  </x:cols>
  <x:sheetData>
    <x:row r="1" ht="38" customHeight="1">
      <x:c r="A1" s="15" t="str">
        <x:v>2025年统计 - 中证1000</x:v>
      </x:c>
    </x:row>
    <x:row r="3">
      <x:c r="A3" s="17" t="str">
        <x:v>1月</x:v>
      </x:c>
      <x:c r="B3" s="17"/>
      <x:c r="C3" s="17"/>
      <x:c r="D3" s="17"/>
      <x:c r="E3" s="17"/>
      <x:c r="F3" s="17"/>
      <x:c r="G3" s="17"/>
      <x:c r="H3" s="17"/>
      <x:c r="I3" s="17"/>
      <x:c r="J3" s="17"/>
      <x:c r="K3" s="17"/>
    </x:row>
    <x:row r="4">
      <x:c r="A4" s="20" t="str">
        <x:v>序号</x:v>
      </x:c>
      <x:c r="B4" s="20" t="str">
        <x:v>星期</x:v>
      </x:c>
      <x:c r="C4" s="20" t="str">
        <x:v>日期</x:v>
      </x:c>
      <x:c r="D4" s="20" t="str">
        <x:v>开盘</x:v>
      </x:c>
      <x:c r="E4" s="20" t="str">
        <x:v>高点</x:v>
      </x:c>
      <x:c r="F4" s="20" t="str">
        <x:v>低点</x:v>
      </x:c>
      <x:c r="G4" s="20" t="str">
        <x:v>收盘</x:v>
      </x:c>
      <x:c r="H4" s="20" t="str">
        <x:v>涨跌点数</x:v>
      </x:c>
      <x:c r="I4" s="20" t="str">
        <x:v>涨幅</x:v>
      </x:c>
      <x:c r="J4" s="20" t="str">
        <x:v>振幅</x:v>
      </x:c>
      <x:c r="K4" s="20" t="str">
        <x:v>标的</x:v>
      </x:c>
    </x:row>
    <x:row r="5">
      <x:c r="A5" s="23" t="n">
        <x:v>1</x:v>
      </x:c>
      <x:c r="B5" s="23" t="str">
        <x:v>周四</x:v>
      </x:c>
      <x:c r="C5" s="23" t="str">
        <x:v>1月2日</x:v>
      </x:c>
      <x:c r="D5" s="24" t="n">
        <x:v>5948.68</x:v>
      </x:c>
      <x:c r="E5" s="24" t="n">
        <x:v>5982.554</x:v>
      </x:c>
      <x:c r="F5" s="24" t="n">
        <x:v>5743.179</x:v>
      </x:c>
      <x:c r="G5" s="24" t="n">
        <x:v>5797.089</x:v>
      </x:c>
      <x:c r="H5" s="27" t="n">
        <x:v>-160.6</x:v>
      </x:c>
      <x:c r="I5" s="25" t="n">
        <x:v>-0.026961334350053878</x:v>
      </x:c>
      <x:c r="J5" s="29" t="n">
        <x:f>ROUND(E5-F5,1)</x:f>
        <x:v>239.4</x:v>
      </x:c>
      <x:c r="K5" s="23" t="str">
        <x:v>中证1000</x:v>
      </x:c>
    </x:row>
    <x:row r="6">
      <x:c r="A6" s="23" t="n">
        <x:v>2</x:v>
      </x:c>
      <x:c r="B6" s="23" t="str">
        <x:v>周五</x:v>
      </x:c>
      <x:c r="C6" s="23" t="str">
        <x:v>1月3日</x:v>
      </x:c>
      <x:c r="D6" s="24" t="n">
        <x:v>5808.542</x:v>
      </x:c>
      <x:c r="E6" s="24" t="n">
        <x:v>5826.083</x:v>
      </x:c>
      <x:c r="F6" s="24" t="n">
        <x:v>5609.766</x:v>
      </x:c>
      <x:c r="G6" s="24" t="n">
        <x:v>5625.209</x:v>
      </x:c>
      <x:c r="H6" s="27" t="n">
        <x:v>-171.9</x:v>
      </x:c>
      <x:c r="I6" s="25" t="n">
        <x:v>-0.029649363672008544</x:v>
      </x:c>
      <x:c r="J6" s="29" t="n">
        <x:f>ROUND(E6-F6,1)</x:f>
        <x:v>216.3</x:v>
      </x:c>
      <x:c r="K6" s="23" t="str">
        <x:v>中证1000</x:v>
      </x:c>
    </x:row>
    <x:row r="7">
      <x:c r="A7" s="23" t="n">
        <x:v>3</x:v>
      </x:c>
      <x:c r="B7" s="23" t="str">
        <x:v>周一</x:v>
      </x:c>
      <x:c r="C7" s="23" t="str">
        <x:v>1月6日</x:v>
      </x:c>
      <x:c r="D7" s="24" t="n">
        <x:v>5614.028</x:v>
      </x:c>
      <x:c r="E7" s="24" t="n">
        <x:v>5688.922</x:v>
      </x:c>
      <x:c r="F7" s="24" t="n">
        <x:v>5561.898</x:v>
      </x:c>
      <x:c r="G7" s="24" t="n">
        <x:v>5608.034</x:v>
      </x:c>
      <x:c r="H7" s="24" t="n">
        <x:v>-17.2</x:v>
      </x:c>
      <x:c r="I7" s="25" t="n">
        <x:v>-0.0030532198892521123</x:v>
      </x:c>
      <x:c r="J7" s="24" t="n">
        <x:f>ROUND(E7-F7,1)</x:f>
        <x:v>127</x:v>
      </x:c>
      <x:c r="K7" s="23" t="str">
        <x:v>中证1000</x:v>
      </x:c>
    </x:row>
    <x:row r="8">
      <x:c r="A8" s="23" t="n">
        <x:v>4</x:v>
      </x:c>
      <x:c r="B8" s="23" t="str">
        <x:v>周二</x:v>
      </x:c>
      <x:c r="C8" s="23" t="str">
        <x:v>1月7日</x:v>
      </x:c>
      <x:c r="D8" s="24" t="n">
        <x:v>5610.946</x:v>
      </x:c>
      <x:c r="E8" s="24" t="n">
        <x:v>5694.005</x:v>
      </x:c>
      <x:c r="F8" s="24" t="n">
        <x:v>5580.885</x:v>
      </x:c>
      <x:c r="G8" s="24" t="n">
        <x:v>5692.041</x:v>
      </x:c>
      <x:c r="H8" s="24" t="n">
        <x:v>84</x:v>
      </x:c>
      <x:c r="I8" s="25" t="n">
        <x:v>0.014979759395182146</x:v>
      </x:c>
      <x:c r="J8" s="24" t="n">
        <x:f>ROUND(E8-F8,1)</x:f>
        <x:v>113.1</x:v>
      </x:c>
      <x:c r="K8" s="23" t="str">
        <x:v>中证1000</x:v>
      </x:c>
    </x:row>
    <x:row r="9">
      <x:c r="A9" s="23" t="n">
        <x:v>5</x:v>
      </x:c>
      <x:c r="B9" s="23" t="str">
        <x:v>周三</x:v>
      </x:c>
      <x:c r="C9" s="23" t="str">
        <x:v>1月8日</x:v>
      </x:c>
      <x:c r="D9" s="24" t="n">
        <x:v>5664.312</x:v>
      </x:c>
      <x:c r="E9" s="24" t="n">
        <x:v>5706.659</x:v>
      </x:c>
      <x:c r="F9" s="24" t="n">
        <x:v>5501.492</x:v>
      </x:c>
      <x:c r="G9" s="24" t="n">
        <x:v>5661.779</x:v>
      </x:c>
      <x:c r="H9" s="24" t="n">
        <x:v>-30.3</x:v>
      </x:c>
      <x:c r="I9" s="25" t="n">
        <x:v>-0.005316546384679932</x:v>
      </x:c>
      <x:c r="J9" s="29" t="n">
        <x:f>ROUND(E9-F9,1)</x:f>
        <x:v>205.2</x:v>
      </x:c>
      <x:c r="K9" s="23" t="str">
        <x:v>中证1000</x:v>
      </x:c>
    </x:row>
    <x:row r="10">
      <x:c r="A10" s="23" t="n">
        <x:v>6</x:v>
      </x:c>
      <x:c r="B10" s="23" t="str">
        <x:v>周四</x:v>
      </x:c>
      <x:c r="C10" s="23" t="str">
        <x:v>1月9日</x:v>
      </x:c>
      <x:c r="D10" s="24" t="n">
        <x:v>5629.895</x:v>
      </x:c>
      <x:c r="E10" s="24" t="n">
        <x:v>5714.461</x:v>
      </x:c>
      <x:c r="F10" s="24" t="n">
        <x:v>5629.824</x:v>
      </x:c>
      <x:c r="G10" s="24" t="n">
        <x:v>5672.78</x:v>
      </x:c>
      <x:c r="H10" s="24" t="n">
        <x:v>11</x:v>
      </x:c>
      <x:c r="I10" s="25" t="n">
        <x:v>0.0019430288607165114</x:v>
      </x:c>
      <x:c r="J10" s="24" t="n">
        <x:f>ROUND(E10-F10,1)</x:f>
        <x:v>84.6</x:v>
      </x:c>
      <x:c r="K10" s="23" t="str">
        <x:v>中证1000</x:v>
      </x:c>
    </x:row>
    <x:row r="11">
      <x:c r="A11" s="23" t="n">
        <x:v>7</x:v>
      </x:c>
      <x:c r="B11" s="23" t="str">
        <x:v>周五</x:v>
      </x:c>
      <x:c r="C11" s="23" t="str">
        <x:v>1月10日</x:v>
      </x:c>
      <x:c r="D11" s="24" t="n">
        <x:v>5662.767</x:v>
      </x:c>
      <x:c r="E11" s="24" t="n">
        <x:v>5718.212</x:v>
      </x:c>
      <x:c r="F11" s="24" t="n">
        <x:v>5544.916</x:v>
      </x:c>
      <x:c r="G11" s="24" t="n">
        <x:v>5544.916</x:v>
      </x:c>
      <x:c r="H11" s="24" t="n">
        <x:v>-127.9</x:v>
      </x:c>
      <x:c r="I11" s="25" t="n">
        <x:v>-0.022539918699473582</x:v>
      </x:c>
      <x:c r="J11" s="24" t="n">
        <x:f>ROUND(E11-F11,1)</x:f>
        <x:v>173.3</x:v>
      </x:c>
      <x:c r="K11" s="23" t="str">
        <x:v>中证1000</x:v>
      </x:c>
    </x:row>
    <x:row r="12">
      <x:c r="A12" s="23" t="n">
        <x:v>8</x:v>
      </x:c>
      <x:c r="B12" s="23" t="str">
        <x:v>周一</x:v>
      </x:c>
      <x:c r="C12" s="23" t="str">
        <x:v>1月13日</x:v>
      </x:c>
      <x:c r="D12" s="24" t="n">
        <x:v>5487.125</x:v>
      </x:c>
      <x:c r="E12" s="24" t="n">
        <x:v>5599.327</x:v>
      </x:c>
      <x:c r="F12" s="24" t="n">
        <x:v>5457.51</x:v>
      </x:c>
      <x:c r="G12" s="24" t="n">
        <x:v>5559.473</x:v>
      </x:c>
      <x:c r="H12" s="24" t="n">
        <x:v>14.6</x:v>
      </x:c>
      <x:c r="I12" s="25" t="n">
        <x:v>0.002625287741058635</x:v>
      </x:c>
      <x:c r="J12" s="24" t="n">
        <x:f>ROUND(E12-F12,1)</x:f>
        <x:v>141.8</x:v>
      </x:c>
      <x:c r="K12" s="23" t="str">
        <x:v>中证1000</x:v>
      </x:c>
    </x:row>
    <x:row r="13">
      <x:c r="A13" s="23" t="n">
        <x:v>9</x:v>
      </x:c>
      <x:c r="B13" s="23" t="str">
        <x:v>周二</x:v>
      </x:c>
      <x:c r="C13" s="23" t="str">
        <x:v>1月14日</x:v>
      </x:c>
      <x:c r="D13" s="24" t="n">
        <x:v>5580.878</x:v>
      </x:c>
      <x:c r="E13" s="24" t="n">
        <x:v>5814.707</x:v>
      </x:c>
      <x:c r="F13" s="24" t="n">
        <x:v>5562.18</x:v>
      </x:c>
      <x:c r="G13" s="24" t="n">
        <x:v>5811.055</x:v>
      </x:c>
      <x:c r="H13" s="27" t="n">
        <x:v>251.6</x:v>
      </x:c>
      <x:c r="I13" s="25" t="n">
        <x:v>0.045252850405065326</x:v>
      </x:c>
      <x:c r="J13" s="29" t="n">
        <x:f>ROUND(E13-F13,1)</x:f>
        <x:v>252.5</x:v>
      </x:c>
      <x:c r="K13" s="23" t="str">
        <x:v>中证1000</x:v>
      </x:c>
    </x:row>
    <x:row r="14">
      <x:c r="A14" s="23" t="n">
        <x:v>10</x:v>
      </x:c>
      <x:c r="B14" s="23" t="str">
        <x:v>周三</x:v>
      </x:c>
      <x:c r="C14" s="23" t="str">
        <x:v>1月15日</x:v>
      </x:c>
      <x:c r="D14" s="24" t="n">
        <x:v>5805.898</x:v>
      </x:c>
      <x:c r="E14" s="24" t="n">
        <x:v>5815.148</x:v>
      </x:c>
      <x:c r="F14" s="24" t="n">
        <x:v>5755.625</x:v>
      </x:c>
      <x:c r="G14" s="24" t="n">
        <x:v>5775.571</x:v>
      </x:c>
      <x:c r="H14" s="24" t="n">
        <x:v>-35.5</x:v>
      </x:c>
      <x:c r="I14" s="25" t="n">
        <x:v>-0.006106292230928845</x:v>
      </x:c>
      <x:c r="J14" s="24" t="n">
        <x:f>ROUND(E14-F14,1)</x:f>
        <x:v>59.5</x:v>
      </x:c>
      <x:c r="K14" s="23" t="str">
        <x:v>中证1000</x:v>
      </x:c>
    </x:row>
    <x:row r="15">
      <x:c r="A15" s="23" t="n">
        <x:v>11</x:v>
      </x:c>
      <x:c r="B15" s="23" t="str">
        <x:v>周四</x:v>
      </x:c>
      <x:c r="C15" s="23" t="str">
        <x:v>1月16日</x:v>
      </x:c>
      <x:c r="D15" s="24" t="n">
        <x:v>5810.051</x:v>
      </x:c>
      <x:c r="E15" s="24" t="n">
        <x:v>5906.466</x:v>
      </x:c>
      <x:c r="F15" s="24" t="n">
        <x:v>5753.764</x:v>
      </x:c>
      <x:c r="G15" s="24" t="n">
        <x:v>5801.305</x:v>
      </x:c>
      <x:c r="H15" s="24" t="n">
        <x:v>25.7</x:v>
      </x:c>
      <x:c r="I15" s="25" t="n">
        <x:v>0.004455663344801852</x:v>
      </x:c>
      <x:c r="J15" s="24" t="n">
        <x:f>ROUND(E15-F15,1)</x:f>
        <x:v>152.7</x:v>
      </x:c>
      <x:c r="K15" s="23" t="str">
        <x:v>中证1000</x:v>
      </x:c>
    </x:row>
    <x:row r="16">
      <x:c r="A16" s="33" t="n">
        <x:v>12</x:v>
      </x:c>
      <x:c r="B16" s="33" t="str">
        <x:v>周五</x:v>
      </x:c>
      <x:c r="C16" s="33" t="str">
        <x:v>1月17日</x:v>
      </x:c>
      <x:c r="D16" s="34" t="n">
        <x:v>5780.606</x:v>
      </x:c>
      <x:c r="E16" s="34" t="n">
        <x:v>5885.417</x:v>
      </x:c>
      <x:c r="F16" s="34" t="n">
        <x:v>5755.907</x:v>
      </x:c>
      <x:c r="G16" s="34" t="n">
        <x:v>5841.572</x:v>
      </x:c>
      <x:c r="H16" s="34" t="n">
        <x:v>40.3</x:v>
      </x:c>
      <x:c r="I16" s="35" t="n">
        <x:v>0.006941024476389224</x:v>
      </x:c>
      <x:c r="J16" s="34" t="n">
        <x:f>ROUND(E16-F16,1)</x:f>
        <x:v>129.5</x:v>
      </x:c>
      <x:c r="K16" s="33" t="str">
        <x:v>中证1000</x:v>
      </x:c>
    </x:row>
    <x:row r="17">
      <x:c r="A17" s="23" t="n">
        <x:v>13</x:v>
      </x:c>
      <x:c r="B17" s="23" t="str">
        <x:v>周一</x:v>
      </x:c>
      <x:c r="C17" s="23" t="str">
        <x:v>1月20日</x:v>
      </x:c>
      <x:c r="D17" s="24" t="n">
        <x:v>5877.972</x:v>
      </x:c>
      <x:c r="E17" s="24" t="n">
        <x:v>5925.072</x:v>
      </x:c>
      <x:c r="F17" s="24" t="n">
        <x:v>5856.833</x:v>
      </x:c>
      <x:c r="G17" s="24" t="n">
        <x:v>5879.15</x:v>
      </x:c>
      <x:c r="H17" s="24" t="n">
        <x:v>37.6</x:v>
      </x:c>
      <x:c r="I17" s="25" t="n">
        <x:v>0.006432857456862617</x:v>
      </x:c>
      <x:c r="J17" s="24" t="n">
        <x:f>ROUND(E17-F17,1)</x:f>
        <x:v>68.2</x:v>
      </x:c>
      <x:c r="K17" s="23" t="str">
        <x:v>中证1000</x:v>
      </x:c>
    </x:row>
    <x:row r="18">
      <x:c r="A18" s="23" t="n">
        <x:v>14</x:v>
      </x:c>
      <x:c r="B18" s="23" t="str">
        <x:v>周二</x:v>
      </x:c>
      <x:c r="C18" s="23" t="str">
        <x:v>1月21日</x:v>
      </x:c>
      <x:c r="D18" s="24" t="n">
        <x:v>5911.405</x:v>
      </x:c>
      <x:c r="E18" s="24" t="n">
        <x:v>5917.129</x:v>
      </x:c>
      <x:c r="F18" s="24" t="n">
        <x:v>5834.964</x:v>
      </x:c>
      <x:c r="G18" s="24" t="n">
        <x:v>5908.023</x:v>
      </x:c>
      <x:c r="H18" s="24" t="n">
        <x:v>28.9</x:v>
      </x:c>
      <x:c r="I18" s="25" t="n">
        <x:v>0.004911084085284623</x:v>
      </x:c>
      <x:c r="J18" s="24" t="n">
        <x:f>ROUND(E18-F18,1)</x:f>
        <x:v>82.2</x:v>
      </x:c>
      <x:c r="K18" s="23" t="str">
        <x:v>中证1000</x:v>
      </x:c>
    </x:row>
    <x:row r="19">
      <x:c r="A19" s="23" t="n">
        <x:v>15</x:v>
      </x:c>
      <x:c r="B19" s="23" t="str">
        <x:v>周三</x:v>
      </x:c>
      <x:c r="C19" s="23" t="str">
        <x:v>1月22日</x:v>
      </x:c>
      <x:c r="D19" s="24" t="n">
        <x:v>5879.843</x:v>
      </x:c>
      <x:c r="E19" s="24" t="n">
        <x:v>5886.742</x:v>
      </x:c>
      <x:c r="F19" s="24" t="n">
        <x:v>5824.035</x:v>
      </x:c>
      <x:c r="G19" s="24" t="n">
        <x:v>5855.739</x:v>
      </x:c>
      <x:c r="H19" s="24" t="n">
        <x:v>-52.3</x:v>
      </x:c>
      <x:c r="I19" s="25" t="n">
        <x:v>-0.00884966087640493</x:v>
      </x:c>
      <x:c r="J19" s="24" t="n">
        <x:f>ROUND(E19-F19,1)</x:f>
        <x:v>62.7</x:v>
      </x:c>
      <x:c r="K19" s="23" t="str">
        <x:v>中证1000</x:v>
      </x:c>
    </x:row>
    <x:row r="20">
      <x:c r="A20" s="23" t="n">
        <x:v>16</x:v>
      </x:c>
      <x:c r="B20" s="23" t="str">
        <x:v>周四</x:v>
      </x:c>
      <x:c r="C20" s="23" t="str">
        <x:v>1月23日</x:v>
      </x:c>
      <x:c r="D20" s="24" t="n">
        <x:v>5911.219</x:v>
      </x:c>
      <x:c r="E20" s="24" t="n">
        <x:v>5991.845</x:v>
      </x:c>
      <x:c r="F20" s="24" t="n">
        <x:v>5829.033</x:v>
      </x:c>
      <x:c r="G20" s="24" t="n">
        <x:v>5829.033</x:v>
      </x:c>
      <x:c r="H20" s="24" t="n">
        <x:v>-26.7</x:v>
      </x:c>
      <x:c r="I20" s="25" t="n">
        <x:v>-0.004560654086529392</x:v>
      </x:c>
      <x:c r="J20" s="24" t="n">
        <x:f>ROUND(E20-F20,1)</x:f>
        <x:v>162.8</x:v>
      </x:c>
      <x:c r="K20" s="23" t="str">
        <x:v>中证1000</x:v>
      </x:c>
    </x:row>
    <x:row r="21">
      <x:c r="A21" s="23" t="n">
        <x:v>17</x:v>
      </x:c>
      <x:c r="B21" s="23" t="str">
        <x:v>周五</x:v>
      </x:c>
      <x:c r="C21" s="23" t="str">
        <x:v>1月24日</x:v>
      </x:c>
      <x:c r="D21" s="24" t="n">
        <x:v>5815.458</x:v>
      </x:c>
      <x:c r="E21" s="24" t="n">
        <x:v>5943.112</x:v>
      </x:c>
      <x:c r="F21" s="24" t="n">
        <x:v>5815.458</x:v>
      </x:c>
      <x:c r="G21" s="24" t="n">
        <x:v>5938.13</x:v>
      </x:c>
      <x:c r="H21" s="24" t="n">
        <x:v>109.1</x:v>
      </x:c>
      <x:c r="I21" s="25" t="n">
        <x:v>0.018716140395842684</x:v>
      </x:c>
      <x:c r="J21" s="24" t="n">
        <x:f>ROUND(E21-F21,1)</x:f>
        <x:v>127.7</x:v>
      </x:c>
      <x:c r="K21" s="23" t="str">
        <x:v>中证1000</x:v>
      </x:c>
    </x:row>
    <x:row r="22">
      <x:c r="A22" s="23" t="n">
        <x:v>18</x:v>
      </x:c>
      <x:c r="B22" s="23" t="str">
        <x:v>周一</x:v>
      </x:c>
      <x:c r="C22" s="23" t="str">
        <x:v>1月27日</x:v>
      </x:c>
      <x:c r="D22" s="24" t="n">
        <x:v>5946.729</x:v>
      </x:c>
      <x:c r="E22" s="24" t="n">
        <x:v>5964.15</x:v>
      </x:c>
      <x:c r="F22" s="24" t="n">
        <x:v>5846.069</x:v>
      </x:c>
      <x:c r="G22" s="24" t="n">
        <x:v>5846.069</x:v>
      </x:c>
      <x:c r="H22" s="24" t="n">
        <x:v>-92.1</x:v>
      </x:c>
      <x:c r="I22" s="25" t="n">
        <x:v>-0.015503365537635538</x:v>
      </x:c>
      <x:c r="J22" s="24" t="n">
        <x:f>ROUND(E22-F22,1)</x:f>
        <x:v>118.1</x:v>
      </x:c>
      <x:c r="K22" s="23" t="str">
        <x:v>中证1000</x:v>
      </x:c>
    </x:row>
    <x:row r="23">
      <x:c r="A23" s="38" t="str">
        <x:v>合计</x:v>
      </x:c>
      <x:c r="B23" s="37" t="n">
        <x:v>18</x:v>
      </x:c>
      <x:c r="C23" s="37"/>
      <x:c r="D23" s="37"/>
      <x:c r="E23" s="37"/>
      <x:c r="F23" s="37"/>
      <x:c r="G23" s="37"/>
      <x:c r="H23" s="37"/>
      <x:c r="I23" s="37"/>
      <x:c r="J23" s="39" t="n">
        <x:f>ROUND(SUM(J5:J22),1)</x:f>
        <x:v>2516.6</x:v>
      </x:c>
      <x:c r="K23" s="37"/>
    </x:row>
    <x:row r="24">
      <x:c r="A24" s="38" t="str">
        <x:v>均值</x:v>
      </x:c>
      <x:c r="B24" s="37"/>
      <x:c r="C24" s="37"/>
      <x:c r="D24" s="37"/>
      <x:c r="E24" s="37"/>
      <x:c r="F24" s="37"/>
      <x:c r="G24" s="37"/>
      <x:c r="H24" s="37"/>
      <x:c r="I24" s="37"/>
      <x:c r="J24" s="41" t="n">
        <x:f>ROUND(IFERROR(AVERAGE(J5:J22),0),1)</x:f>
        <x:v>139.8</x:v>
      </x:c>
      <x:c r="K24" s="37"/>
    </x:row>
    <x:row r="26">
      <x:c r="A26" s="17" t="str">
        <x:v>2月</x:v>
      </x:c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</x:row>
    <x:row r="27">
      <x:c r="A27" s="20" t="str">
        <x:v>序号</x:v>
      </x:c>
      <x:c r="B27" s="20" t="str">
        <x:v>星期</x:v>
      </x:c>
      <x:c r="C27" s="20" t="str">
        <x:v>日期</x:v>
      </x:c>
      <x:c r="D27" s="20" t="str">
        <x:v>开盘</x:v>
      </x:c>
      <x:c r="E27" s="20" t="str">
        <x:v>高点</x:v>
      </x:c>
      <x:c r="F27" s="20" t="str">
        <x:v>低点</x:v>
      </x:c>
      <x:c r="G27" s="20" t="str">
        <x:v>收盘</x:v>
      </x:c>
      <x:c r="H27" s="20" t="str">
        <x:v>涨跌点数</x:v>
      </x:c>
      <x:c r="I27" s="20" t="str">
        <x:v>涨幅</x:v>
      </x:c>
      <x:c r="J27" s="20" t="str">
        <x:v>振幅</x:v>
      </x:c>
      <x:c r="K27" s="20" t="str">
        <x:v>标的</x:v>
      </x:c>
    </x:row>
    <x:row r="28">
      <x:c r="A28" s="23" t="n">
        <x:v>1</x:v>
      </x:c>
      <x:c r="B28" s="23" t="str">
        <x:v>周三</x:v>
      </x:c>
      <x:c r="C28" s="23" t="str">
        <x:v>2月5日</x:v>
      </x:c>
      <x:c r="D28" s="24" t="n">
        <x:v>5900.513</x:v>
      </x:c>
      <x:c r="E28" s="24" t="n">
        <x:v>5928.88</x:v>
      </x:c>
      <x:c r="F28" s="24" t="n">
        <x:v>5851.595</x:v>
      </x:c>
      <x:c r="G28" s="24" t="n">
        <x:v>5881.437</x:v>
      </x:c>
      <x:c r="H28" s="24" t="n">
        <x:v>35.4</x:v>
      </x:c>
      <x:c r="I28" s="25" t="n">
        <x:v>0.0060498772765082975</x:v>
      </x:c>
      <x:c r="J28" s="24" t="n">
        <x:f>ROUND(E28-F28,1)</x:f>
        <x:v>77.3</x:v>
      </x:c>
      <x:c r="K28" s="23" t="str">
        <x:v>中证1000</x:v>
      </x:c>
    </x:row>
    <x:row r="29">
      <x:c r="A29" s="23" t="n">
        <x:v>2</x:v>
      </x:c>
      <x:c r="B29" s="23" t="str">
        <x:v>周四</x:v>
      </x:c>
      <x:c r="C29" s="23" t="str">
        <x:v>2月6日</x:v>
      </x:c>
      <x:c r="D29" s="24" t="n">
        <x:v>5869.705</x:v>
      </x:c>
      <x:c r="E29" s="24" t="n">
        <x:v>6042.019</x:v>
      </x:c>
      <x:c r="F29" s="24" t="n">
        <x:v>5853.746</x:v>
      </x:c>
      <x:c r="G29" s="24" t="n">
        <x:v>6041.834</x:v>
      </x:c>
      <x:c r="H29" s="27" t="n">
        <x:v>160.4</x:v>
      </x:c>
      <x:c r="I29" s="25" t="n">
        <x:v>0.027271736482087583</x:v>
      </x:c>
      <x:c r="J29" s="29" t="n">
        <x:f>ROUND(E29-F29,1)</x:f>
        <x:v>188.3</x:v>
      </x:c>
      <x:c r="K29" s="23" t="str">
        <x:v>中证1000</x:v>
      </x:c>
    </x:row>
    <x:row r="30">
      <x:c r="A30" s="23" t="n">
        <x:v>3</x:v>
      </x:c>
      <x:c r="B30" s="23" t="str">
        <x:v>周五</x:v>
      </x:c>
      <x:c r="C30" s="23" t="str">
        <x:v>2月7日</x:v>
      </x:c>
      <x:c r="D30" s="24" t="n">
        <x:v>6046.365</x:v>
      </x:c>
      <x:c r="E30" s="24" t="n">
        <x:v>6198.748</x:v>
      </x:c>
      <x:c r="F30" s="24" t="n">
        <x:v>6042.261</x:v>
      </x:c>
      <x:c r="G30" s="24" t="n">
        <x:v>6134.055</x:v>
      </x:c>
      <x:c r="H30" s="24" t="n">
        <x:v>92.2</x:v>
      </x:c>
      <x:c r="I30" s="25" t="n">
        <x:v>0.015263742764200394</x:v>
      </x:c>
      <x:c r="J30" s="24" t="n">
        <x:f>ROUND(E30-F30,1)</x:f>
        <x:v>156.5</x:v>
      </x:c>
      <x:c r="K30" s="23" t="str">
        <x:v>中证1000</x:v>
      </x:c>
    </x:row>
    <x:row r="31">
      <x:c r="A31" s="23" t="n">
        <x:v>4</x:v>
      </x:c>
      <x:c r="B31" s="23" t="str">
        <x:v>周一</x:v>
      </x:c>
      <x:c r="C31" s="23" t="str">
        <x:v>2月10日</x:v>
      </x:c>
      <x:c r="D31" s="24" t="n">
        <x:v>6155.051</x:v>
      </x:c>
      <x:c r="E31" s="24" t="n">
        <x:v>6218.066</x:v>
      </x:c>
      <x:c r="F31" s="24" t="n">
        <x:v>6126.082</x:v>
      </x:c>
      <x:c r="G31" s="24" t="n">
        <x:v>6210.547</x:v>
      </x:c>
      <x:c r="H31" s="24" t="n">
        <x:v>76.5</x:v>
      </x:c>
      <x:c r="I31" s="25" t="n">
        <x:v>0.012470054474568393</x:v>
      </x:c>
      <x:c r="J31" s="24" t="n">
        <x:f>ROUND(E31-F31,1)</x:f>
        <x:v>92</x:v>
      </x:c>
      <x:c r="K31" s="23" t="str">
        <x:v>中证1000</x:v>
      </x:c>
    </x:row>
    <x:row r="32">
      <x:c r="A32" s="23" t="n">
        <x:v>5</x:v>
      </x:c>
      <x:c r="B32" s="23" t="str">
        <x:v>周二</x:v>
      </x:c>
      <x:c r="C32" s="23" t="str">
        <x:v>2月11日</x:v>
      </x:c>
      <x:c r="D32" s="24" t="n">
        <x:v>6209.521</x:v>
      </x:c>
      <x:c r="E32" s="24" t="n">
        <x:v>6220.964</x:v>
      </x:c>
      <x:c r="F32" s="24" t="n">
        <x:v>6135.866</x:v>
      </x:c>
      <x:c r="G32" s="24" t="n">
        <x:v>6190.174</x:v>
      </x:c>
      <x:c r="H32" s="24" t="n">
        <x:v>-20.4</x:v>
      </x:c>
      <x:c r="I32" s="25" t="n">
        <x:v>-0.0032803873797266903</x:v>
      </x:c>
      <x:c r="J32" s="24" t="n">
        <x:f>ROUND(E32-F32,1)</x:f>
        <x:v>85.1</x:v>
      </x:c>
      <x:c r="K32" s="23" t="str">
        <x:v>中证1000</x:v>
      </x:c>
    </x:row>
    <x:row r="33">
      <x:c r="A33" s="23" t="n">
        <x:v>6</x:v>
      </x:c>
      <x:c r="B33" s="23" t="str">
        <x:v>周三</x:v>
      </x:c>
      <x:c r="C33" s="23" t="str">
        <x:v>2月12日</x:v>
      </x:c>
      <x:c r="D33" s="24" t="n">
        <x:v>6172.394</x:v>
      </x:c>
      <x:c r="E33" s="24" t="n">
        <x:v>6284.918</x:v>
      </x:c>
      <x:c r="F33" s="24" t="n">
        <x:v>6171.061</x:v>
      </x:c>
      <x:c r="G33" s="24" t="n">
        <x:v>6284.611</x:v>
      </x:c>
      <x:c r="H33" s="24" t="n">
        <x:v>94.4</x:v>
      </x:c>
      <x:c r="I33" s="25" t="n">
        <x:v>0.015255952417492669</x:v>
      </x:c>
      <x:c r="J33" s="24" t="n">
        <x:f>ROUND(E33-F33,1)</x:f>
        <x:v>113.9</x:v>
      </x:c>
      <x:c r="K33" s="23" t="str">
        <x:v>中证1000</x:v>
      </x:c>
    </x:row>
    <x:row r="34">
      <x:c r="A34" s="23" t="n">
        <x:v>7</x:v>
      </x:c>
      <x:c r="B34" s="23" t="str">
        <x:v>周四</x:v>
      </x:c>
      <x:c r="C34" s="23" t="str">
        <x:v>2月13日</x:v>
      </x:c>
      <x:c r="D34" s="24" t="n">
        <x:v>6290.79</x:v>
      </x:c>
      <x:c r="E34" s="24" t="n">
        <x:v>6290.79</x:v>
      </x:c>
      <x:c r="F34" s="24" t="n">
        <x:v>6202.593</x:v>
      </x:c>
      <x:c r="G34" s="24" t="n">
        <x:v>6212.497</x:v>
      </x:c>
      <x:c r="H34" s="24" t="n">
        <x:v>-72.1</x:v>
      </x:c>
      <x:c r="I34" s="25" t="n">
        <x:v>-0.011474695888098685</x:v>
      </x:c>
      <x:c r="J34" s="24" t="n">
        <x:f>ROUND(E34-F34,1)</x:f>
        <x:v>88.2</x:v>
      </x:c>
      <x:c r="K34" s="23" t="str">
        <x:v>中证1000</x:v>
      </x:c>
    </x:row>
    <x:row r="35">
      <x:c r="A35" s="23" t="n">
        <x:v>8</x:v>
      </x:c>
      <x:c r="B35" s="23" t="str">
        <x:v>周五</x:v>
      </x:c>
      <x:c r="C35" s="23" t="str">
        <x:v>2月14日</x:v>
      </x:c>
      <x:c r="D35" s="24" t="n">
        <x:v>6203.477</x:v>
      </x:c>
      <x:c r="E35" s="24" t="n">
        <x:v>6257.306</x:v>
      </x:c>
      <x:c r="F35" s="24" t="n">
        <x:v>6182.264</x:v>
      </x:c>
      <x:c r="G35" s="24" t="n">
        <x:v>6248.835</x:v>
      </x:c>
      <x:c r="H35" s="24" t="n">
        <x:v>36.3</x:v>
      </x:c>
      <x:c r="I35" s="25" t="n">
        <x:v>0.005849177874854394</x:v>
      </x:c>
      <x:c r="J35" s="24" t="n">
        <x:f>ROUND(E35-F35,1)</x:f>
        <x:v>75</x:v>
      </x:c>
      <x:c r="K35" s="23" t="str">
        <x:v>中证1000</x:v>
      </x:c>
    </x:row>
    <x:row r="36">
      <x:c r="A36" s="23" t="n">
        <x:v>9</x:v>
      </x:c>
      <x:c r="B36" s="23" t="str">
        <x:v>周一</x:v>
      </x:c>
      <x:c r="C36" s="23" t="str">
        <x:v>2月17日</x:v>
      </x:c>
      <x:c r="D36" s="24" t="n">
        <x:v>6285.04</x:v>
      </x:c>
      <x:c r="E36" s="24" t="n">
        <x:v>6308.484</x:v>
      </x:c>
      <x:c r="F36" s="24" t="n">
        <x:v>6231.868</x:v>
      </x:c>
      <x:c r="G36" s="24" t="n">
        <x:v>6281.566</x:v>
      </x:c>
      <x:c r="H36" s="24" t="n">
        <x:v>32.7</x:v>
      </x:c>
      <x:c r="I36" s="25" t="n">
        <x:v>0.005237936351335959</x:v>
      </x:c>
      <x:c r="J36" s="24" t="n">
        <x:f>ROUND(E36-F36,1)</x:f>
        <x:v>76.6</x:v>
      </x:c>
      <x:c r="K36" s="23" t="str">
        <x:v>中证1000</x:v>
      </x:c>
    </x:row>
    <x:row r="37">
      <x:c r="A37" s="23" t="n">
        <x:v>10</x:v>
      </x:c>
      <x:c r="B37" s="23" t="str">
        <x:v>周二</x:v>
      </x:c>
      <x:c r="C37" s="23" t="str">
        <x:v>2月18日</x:v>
      </x:c>
      <x:c r="D37" s="24" t="n">
        <x:v>6264.282</x:v>
      </x:c>
      <x:c r="E37" s="24" t="n">
        <x:v>6282.404</x:v>
      </x:c>
      <x:c r="F37" s="24" t="n">
        <x:v>6112.585</x:v>
      </x:c>
      <x:c r="G37" s="24" t="n">
        <x:v>6142.138</x:v>
      </x:c>
      <x:c r="H37" s="24" t="n">
        <x:v>-139.4</x:v>
      </x:c>
      <x:c r="I37" s="25" t="n">
        <x:v>-0.022196375871876506</x:v>
      </x:c>
      <x:c r="J37" s="24" t="n">
        <x:f>ROUND(E37-F37,1)</x:f>
        <x:v>169.8</x:v>
      </x:c>
      <x:c r="K37" s="23" t="str">
        <x:v>中证1000</x:v>
      </x:c>
    </x:row>
    <x:row r="38">
      <x:c r="A38" s="23" t="n">
        <x:v>11</x:v>
      </x:c>
      <x:c r="B38" s="23" t="str">
        <x:v>周三</x:v>
      </x:c>
      <x:c r="C38" s="23" t="str">
        <x:v>2月19日</x:v>
      </x:c>
      <x:c r="D38" s="24" t="n">
        <x:v>6134.991</x:v>
      </x:c>
      <x:c r="E38" s="24" t="n">
        <x:v>6290.013</x:v>
      </x:c>
      <x:c r="F38" s="24" t="n">
        <x:v>6133.942</x:v>
      </x:c>
      <x:c r="G38" s="24" t="n">
        <x:v>6288.529</x:v>
      </x:c>
      <x:c r="H38" s="24" t="n">
        <x:v>146.4</x:v>
      </x:c>
      <x:c r="I38" s="25" t="n">
        <x:v>0.023833883250425236</x:v>
      </x:c>
      <x:c r="J38" s="24" t="n">
        <x:f>ROUND(E38-F38,1)</x:f>
        <x:v>156.1</x:v>
      </x:c>
      <x:c r="K38" s="23" t="str">
        <x:v>中证1000</x:v>
      </x:c>
    </x:row>
    <x:row r="39">
      <x:c r="A39" s="23" t="n">
        <x:v>12</x:v>
      </x:c>
      <x:c r="B39" s="23" t="str">
        <x:v>周四</x:v>
      </x:c>
      <x:c r="C39" s="23" t="str">
        <x:v>2月20日</x:v>
      </x:c>
      <x:c r="D39" s="24" t="n">
        <x:v>6289.133</x:v>
      </x:c>
      <x:c r="E39" s="24" t="n">
        <x:v>6349.474</x:v>
      </x:c>
      <x:c r="F39" s="24" t="n">
        <x:v>6274.031</x:v>
      </x:c>
      <x:c r="G39" s="24" t="n">
        <x:v>6334.414</x:v>
      </x:c>
      <x:c r="H39" s="24" t="n">
        <x:v>45.9</x:v>
      </x:c>
      <x:c r="I39" s="25" t="n">
        <x:v>0.007296618970827673</x:v>
      </x:c>
      <x:c r="J39" s="24" t="n">
        <x:f>ROUND(E39-F39,1)</x:f>
        <x:v>75.4</x:v>
      </x:c>
      <x:c r="K39" s="23" t="str">
        <x:v>中证1000</x:v>
      </x:c>
    </x:row>
    <x:row r="40">
      <x:c r="A40" s="33" t="n">
        <x:v>13</x:v>
      </x:c>
      <x:c r="B40" s="33" t="str">
        <x:v>周五</x:v>
      </x:c>
      <x:c r="C40" s="33" t="str">
        <x:v>2月21日</x:v>
      </x:c>
      <x:c r="D40" s="34" t="n">
        <x:v>6347.67</x:v>
      </x:c>
      <x:c r="E40" s="34" t="n">
        <x:v>6456.919</x:v>
      </x:c>
      <x:c r="F40" s="34" t="n">
        <x:v>6317.085</x:v>
      </x:c>
      <x:c r="G40" s="34" t="n">
        <x:v>6449.228</x:v>
      </x:c>
      <x:c r="H40" s="34" t="n">
        <x:v>114.8</x:v>
      </x:c>
      <x:c r="I40" s="35" t="n">
        <x:v>0.018125433544444736</x:v>
      </x:c>
      <x:c r="J40" s="34" t="n">
        <x:f>ROUND(E40-F40,1)</x:f>
        <x:v>139.8</x:v>
      </x:c>
      <x:c r="K40" s="33" t="str">
        <x:v>中证1000</x:v>
      </x:c>
    </x:row>
    <x:row r="41">
      <x:c r="A41" s="23" t="n">
        <x:v>14</x:v>
      </x:c>
      <x:c r="B41" s="23" t="str">
        <x:v>周一</x:v>
      </x:c>
      <x:c r="C41" s="23" t="str">
        <x:v>2月24日</x:v>
      </x:c>
      <x:c r="D41" s="24" t="n">
        <x:v>6454.558</x:v>
      </x:c>
      <x:c r="E41" s="24" t="n">
        <x:v>6504.4</x:v>
      </x:c>
      <x:c r="F41" s="24" t="n">
        <x:v>6411.766</x:v>
      </x:c>
      <x:c r="G41" s="24" t="n">
        <x:v>6464.024</x:v>
      </x:c>
      <x:c r="H41" s="24" t="n">
        <x:v>14.8</x:v>
      </x:c>
      <x:c r="I41" s="25" t="n">
        <x:v>0.0022942280843536444</x:v>
      </x:c>
      <x:c r="J41" s="24" t="n">
        <x:f>ROUND(E41-F41,1)</x:f>
        <x:v>92.6</x:v>
      </x:c>
      <x:c r="K41" s="23" t="str">
        <x:v>中证1000</x:v>
      </x:c>
    </x:row>
    <x:row r="42">
      <x:c r="A42" s="23" t="n">
        <x:v>15</x:v>
      </x:c>
      <x:c r="B42" s="23" t="str">
        <x:v>周二</x:v>
      </x:c>
      <x:c r="C42" s="23" t="str">
        <x:v>2月25日</x:v>
      </x:c>
      <x:c r="D42" s="24" t="n">
        <x:v>6369.276</x:v>
      </x:c>
      <x:c r="E42" s="24" t="n">
        <x:v>6503.007</x:v>
      </x:c>
      <x:c r="F42" s="24" t="n">
        <x:v>6359.836</x:v>
      </x:c>
      <x:c r="G42" s="24" t="n">
        <x:v>6435.428</x:v>
      </x:c>
      <x:c r="H42" s="24" t="n">
        <x:v>-28.6</x:v>
      </x:c>
      <x:c r="I42" s="25" t="n">
        <x:v>-0.004423869713355066</x:v>
      </x:c>
      <x:c r="J42" s="24" t="n">
        <x:f>ROUND(E42-F42,1)</x:f>
        <x:v>143.2</x:v>
      </x:c>
      <x:c r="K42" s="23" t="str">
        <x:v>中证1000</x:v>
      </x:c>
    </x:row>
    <x:row r="43">
      <x:c r="A43" s="23" t="n">
        <x:v>16</x:v>
      </x:c>
      <x:c r="B43" s="23" t="str">
        <x:v>周三</x:v>
      </x:c>
      <x:c r="C43" s="23" t="str">
        <x:v>2月26日</x:v>
      </x:c>
      <x:c r="D43" s="24" t="n">
        <x:v>6451.402</x:v>
      </x:c>
      <x:c r="E43" s="24" t="n">
        <x:v>6527.846</x:v>
      </x:c>
      <x:c r="F43" s="24" t="n">
        <x:v>6423.603</x:v>
      </x:c>
      <x:c r="G43" s="24" t="n">
        <x:v>6524.406</x:v>
      </x:c>
      <x:c r="H43" s="24" t="n">
        <x:v>89</x:v>
      </x:c>
      <x:c r="I43" s="25" t="n">
        <x:v>0.013826275424105416</x:v>
      </x:c>
      <x:c r="J43" s="24" t="n">
        <x:f>ROUND(E43-F43,1)</x:f>
        <x:v>104.2</x:v>
      </x:c>
      <x:c r="K43" s="23" t="str">
        <x:v>中证1000</x:v>
      </x:c>
    </x:row>
    <x:row r="44">
      <x:c r="A44" s="23" t="n">
        <x:v>17</x:v>
      </x:c>
      <x:c r="B44" s="23" t="str">
        <x:v>周四</x:v>
      </x:c>
      <x:c r="C44" s="23" t="str">
        <x:v>2月27日</x:v>
      </x:c>
      <x:c r="D44" s="24" t="n">
        <x:v>6526.811</x:v>
      </x:c>
      <x:c r="E44" s="24" t="n">
        <x:v>6550.1</x:v>
      </x:c>
      <x:c r="F44" s="24" t="n">
        <x:v>6395.908</x:v>
      </x:c>
      <x:c r="G44" s="24" t="n">
        <x:v>6499.53</x:v>
      </x:c>
      <x:c r="H44" s="24" t="n">
        <x:v>-24.9</x:v>
      </x:c>
      <x:c r="I44" s="25" t="n">
        <x:v>-0.0038127608858186113</x:v>
      </x:c>
      <x:c r="J44" s="24" t="n">
        <x:f>ROUND(E44-F44,1)</x:f>
        <x:v>154.2</x:v>
      </x:c>
      <x:c r="K44" s="23" t="str">
        <x:v>中证1000</x:v>
      </x:c>
    </x:row>
    <x:row r="45">
      <x:c r="A45" s="23" t="n">
        <x:v>18</x:v>
      </x:c>
      <x:c r="B45" s="23" t="str">
        <x:v>周五</x:v>
      </x:c>
      <x:c r="C45" s="23" t="str">
        <x:v>2月28日</x:v>
      </x:c>
      <x:c r="D45" s="24" t="n">
        <x:v>6460.904</x:v>
      </x:c>
      <x:c r="E45" s="24" t="n">
        <x:v>6468.796</x:v>
      </x:c>
      <x:c r="F45" s="24" t="n">
        <x:v>6252.014</x:v>
      </x:c>
      <x:c r="G45" s="24" t="n">
        <x:v>6270.419</x:v>
      </x:c>
      <x:c r="H45" s="27" t="n">
        <x:v>-229.1</x:v>
      </x:c>
      <x:c r="I45" s="25" t="n">
        <x:v>-0.03525039502856364</x:v>
      </x:c>
      <x:c r="J45" s="29" t="n">
        <x:f>ROUND(E45-F45,1)</x:f>
        <x:v>216.8</x:v>
      </x:c>
      <x:c r="K45" s="23" t="str">
        <x:v>中证1000</x:v>
      </x:c>
    </x:row>
    <x:row r="46">
      <x:c r="A46" s="38" t="str">
        <x:v>合计</x:v>
      </x:c>
      <x:c r="B46" s="37" t="n">
        <x:v>18</x:v>
      </x:c>
      <x:c r="C46" s="37"/>
      <x:c r="D46" s="37"/>
      <x:c r="E46" s="37"/>
      <x:c r="F46" s="37"/>
      <x:c r="G46" s="37"/>
      <x:c r="H46" s="37"/>
      <x:c r="I46" s="37"/>
      <x:c r="J46" s="39" t="n">
        <x:f>ROUND(SUM(J28:J45),1)</x:f>
        <x:v>2205</x:v>
      </x:c>
      <x:c r="K46" s="37"/>
    </x:row>
    <x:row r="47">
      <x:c r="A47" s="38" t="str">
        <x:v>均值</x:v>
      </x:c>
      <x:c r="B47" s="37"/>
      <x:c r="C47" s="37"/>
      <x:c r="D47" s="37"/>
      <x:c r="E47" s="37"/>
      <x:c r="F47" s="37"/>
      <x:c r="G47" s="37"/>
      <x:c r="H47" s="37"/>
      <x:c r="I47" s="37"/>
      <x:c r="J47" s="41" t="n">
        <x:f>ROUND(IFERROR(AVERAGE(J28:J45),0),1)</x:f>
        <x:v>122.5</x:v>
      </x:c>
      <x:c r="K47" s="37"/>
    </x:row>
    <x:row r="49">
      <x:c r="A49" s="17" t="str">
        <x:v>3月</x:v>
      </x:c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</x:row>
    <x:row r="50">
      <x:c r="A50" s="20" t="str">
        <x:v>序号</x:v>
      </x:c>
      <x:c r="B50" s="20" t="str">
        <x:v>星期</x:v>
      </x:c>
      <x:c r="C50" s="20" t="str">
        <x:v>日期</x:v>
      </x:c>
      <x:c r="D50" s="20" t="str">
        <x:v>开盘</x:v>
      </x:c>
      <x:c r="E50" s="20" t="str">
        <x:v>高点</x:v>
      </x:c>
      <x:c r="F50" s="20" t="str">
        <x:v>低点</x:v>
      </x:c>
      <x:c r="G50" s="20" t="str">
        <x:v>收盘</x:v>
      </x:c>
      <x:c r="H50" s="20" t="str">
        <x:v>涨跌点数</x:v>
      </x:c>
      <x:c r="I50" s="20" t="str">
        <x:v>涨幅</x:v>
      </x:c>
      <x:c r="J50" s="20" t="str">
        <x:v>振幅</x:v>
      </x:c>
      <x:c r="K50" s="20" t="str">
        <x:v>标的</x:v>
      </x:c>
    </x:row>
    <x:row r="51">
      <x:c r="A51" s="23" t="n">
        <x:v>1</x:v>
      </x:c>
      <x:c r="B51" s="23" t="str">
        <x:v>周一</x:v>
      </x:c>
      <x:c r="C51" s="23" t="str">
        <x:v>3月3日</x:v>
      </x:c>
      <x:c r="D51" s="24" t="n">
        <x:v>6291.05</x:v>
      </x:c>
      <x:c r="E51" s="24" t="n">
        <x:v>6382.048</x:v>
      </x:c>
      <x:c r="F51" s="24" t="n">
        <x:v>6240.568</x:v>
      </x:c>
      <x:c r="G51" s="24" t="n">
        <x:v>6273.67</x:v>
      </x:c>
      <x:c r="H51" s="24" t="n">
        <x:v>3.3</x:v>
      </x:c>
      <x:c r="I51" s="25" t="n">
        <x:v>0.000518466150348118</x:v>
      </x:c>
      <x:c r="J51" s="24" t="n">
        <x:f>ROUND(E51-F51,1)</x:f>
        <x:v>141.5</x:v>
      </x:c>
      <x:c r="K51" s="23" t="str">
        <x:v>中证1000</x:v>
      </x:c>
    </x:row>
    <x:row r="52">
      <x:c r="A52" s="23" t="n">
        <x:v>2</x:v>
      </x:c>
      <x:c r="B52" s="23" t="str">
        <x:v>周二</x:v>
      </x:c>
      <x:c r="C52" s="23" t="str">
        <x:v>3月4日</x:v>
      </x:c>
      <x:c r="D52" s="24" t="n">
        <x:v>6218.831</x:v>
      </x:c>
      <x:c r="E52" s="24" t="n">
        <x:v>6364.121</x:v>
      </x:c>
      <x:c r="F52" s="24" t="n">
        <x:v>6217.81</x:v>
      </x:c>
      <x:c r="G52" s="24" t="n">
        <x:v>6357.628</x:v>
      </x:c>
      <x:c r="H52" s="24" t="n">
        <x:v>84</x:v>
      </x:c>
      <x:c r="I52" s="25" t="n">
        <x:v>0.013382597427024301</x:v>
      </x:c>
      <x:c r="J52" s="24" t="n">
        <x:f>ROUND(E52-F52,1)</x:f>
        <x:v>146.3</x:v>
      </x:c>
      <x:c r="K52" s="23" t="str">
        <x:v>中证1000</x:v>
      </x:c>
    </x:row>
    <x:row r="53">
      <x:c r="A53" s="23" t="n">
        <x:v>3</x:v>
      </x:c>
      <x:c r="B53" s="23" t="str">
        <x:v>周三</x:v>
      </x:c>
      <x:c r="C53" s="23" t="str">
        <x:v>3月5日</x:v>
      </x:c>
      <x:c r="D53" s="24" t="n">
        <x:v>6365.432</x:v>
      </x:c>
      <x:c r="E53" s="24" t="n">
        <x:v>6401.831</x:v>
      </x:c>
      <x:c r="F53" s="24" t="n">
        <x:v>6318.287</x:v>
      </x:c>
      <x:c r="G53" s="24" t="n">
        <x:v>6398.237</x:v>
      </x:c>
      <x:c r="H53" s="24" t="n">
        <x:v>40.6</x:v>
      </x:c>
      <x:c r="I53" s="25" t="n">
        <x:v>0.006387445128906544</x:v>
      </x:c>
      <x:c r="J53" s="24" t="n">
        <x:f>ROUND(E53-F53,1)</x:f>
        <x:v>83.5</x:v>
      </x:c>
      <x:c r="K53" s="23" t="str">
        <x:v>中证1000</x:v>
      </x:c>
    </x:row>
    <x:row r="54">
      <x:c r="A54" s="23" t="n">
        <x:v>4</x:v>
      </x:c>
      <x:c r="B54" s="23" t="str">
        <x:v>周四</x:v>
      </x:c>
      <x:c r="C54" s="23" t="str">
        <x:v>3月6日</x:v>
      </x:c>
      <x:c r="D54" s="24" t="n">
        <x:v>6438.159</x:v>
      </x:c>
      <x:c r="E54" s="24" t="n">
        <x:v>6548.855</x:v>
      </x:c>
      <x:c r="F54" s="24" t="n">
        <x:v>6435.543</x:v>
      </x:c>
      <x:c r="G54" s="24" t="n">
        <x:v>6534.971</x:v>
      </x:c>
      <x:c r="H54" s="24" t="n">
        <x:v>136.7</x:v>
      </x:c>
      <x:c r="I54" s="25" t="n">
        <x:v>0.02137057442542356</x:v>
      </x:c>
      <x:c r="J54" s="24" t="n">
        <x:f>ROUND(E54-F54,1)</x:f>
        <x:v>113.3</x:v>
      </x:c>
      <x:c r="K54" s="23" t="str">
        <x:v>中证1000</x:v>
      </x:c>
    </x:row>
    <x:row r="55">
      <x:c r="A55" s="23" t="n">
        <x:v>5</x:v>
      </x:c>
      <x:c r="B55" s="23" t="str">
        <x:v>周五</x:v>
      </x:c>
      <x:c r="C55" s="23" t="str">
        <x:v>3月7日</x:v>
      </x:c>
      <x:c r="D55" s="24" t="n">
        <x:v>6512.732</x:v>
      </x:c>
      <x:c r="E55" s="24" t="n">
        <x:v>6577.951</x:v>
      </x:c>
      <x:c r="F55" s="24" t="n">
        <x:v>6465.264</x:v>
      </x:c>
      <x:c r="G55" s="24" t="n">
        <x:v>6507.765</x:v>
      </x:c>
      <x:c r="H55" s="24" t="n">
        <x:v>-27.2</x:v>
      </x:c>
      <x:c r="I55" s="25" t="n">
        <x:v>-0.004163140127171117</x:v>
      </x:c>
      <x:c r="J55" s="24" t="n">
        <x:f>ROUND(E55-F55,1)</x:f>
        <x:v>112.7</x:v>
      </x:c>
      <x:c r="K55" s="23" t="str">
        <x:v>中证1000</x:v>
      </x:c>
    </x:row>
    <x:row r="56">
      <x:c r="A56" s="23" t="n">
        <x:v>6</x:v>
      </x:c>
      <x:c r="B56" s="23" t="str">
        <x:v>周一</x:v>
      </x:c>
      <x:c r="C56" s="23" t="str">
        <x:v>3月10日</x:v>
      </x:c>
      <x:c r="D56" s="24" t="n">
        <x:v>6519.028</x:v>
      </x:c>
      <x:c r="E56" s="24" t="n">
        <x:v>6541.593</x:v>
      </x:c>
      <x:c r="F56" s="24" t="n">
        <x:v>6466.903</x:v>
      </x:c>
      <x:c r="G56" s="24" t="n">
        <x:v>6520.973</x:v>
      </x:c>
      <x:c r="H56" s="24" t="n">
        <x:v>13.2</x:v>
      </x:c>
      <x:c r="I56" s="25" t="n">
        <x:v>0.002029575437957565</x:v>
      </x:c>
      <x:c r="J56" s="24" t="n">
        <x:f>ROUND(E56-F56,1)</x:f>
        <x:v>74.7</x:v>
      </x:c>
      <x:c r="K56" s="23" t="str">
        <x:v>中证1000</x:v>
      </x:c>
    </x:row>
    <x:row r="57">
      <x:c r="A57" s="23" t="n">
        <x:v>7</x:v>
      </x:c>
      <x:c r="B57" s="23" t="str">
        <x:v>周二</x:v>
      </x:c>
      <x:c r="C57" s="23" t="str">
        <x:v>3月11日</x:v>
      </x:c>
      <x:c r="D57" s="24" t="n">
        <x:v>6438.245</x:v>
      </x:c>
      <x:c r="E57" s="24" t="n">
        <x:v>6551.734</x:v>
      </x:c>
      <x:c r="F57" s="24" t="n">
        <x:v>6432.758</x:v>
      </x:c>
      <x:c r="G57" s="24" t="n">
        <x:v>6551.734</x:v>
      </x:c>
      <x:c r="H57" s="24" t="n">
        <x:v>30.8</x:v>
      </x:c>
      <x:c r="I57" s="25" t="n">
        <x:v>0.004717240816669577</x:v>
      </x:c>
      <x:c r="J57" s="24" t="n">
        <x:f>ROUND(E57-F57,1)</x:f>
        <x:v>119</x:v>
      </x:c>
      <x:c r="K57" s="23" t="str">
        <x:v>中证1000</x:v>
      </x:c>
    </x:row>
    <x:row r="58">
      <x:c r="A58" s="23" t="n">
        <x:v>8</x:v>
      </x:c>
      <x:c r="B58" s="23" t="str">
        <x:v>周三</x:v>
      </x:c>
      <x:c r="C58" s="23" t="str">
        <x:v>3月12日</x:v>
      </x:c>
      <x:c r="D58" s="24" t="n">
        <x:v>6585.595</x:v>
      </x:c>
      <x:c r="E58" s="24" t="n">
        <x:v>6632.388</x:v>
      </x:c>
      <x:c r="F58" s="24" t="n">
        <x:v>6564.716</x:v>
      </x:c>
      <x:c r="G58" s="24" t="n">
        <x:v>6566.968</x:v>
      </x:c>
      <x:c r="H58" s="24" t="n">
        <x:v>15.2</x:v>
      </x:c>
      <x:c r="I58" s="25" t="n">
        <x:v>0.0023251859736672653</x:v>
      </x:c>
      <x:c r="J58" s="24" t="n">
        <x:f>ROUND(E58-F58,1)</x:f>
        <x:v>67.7</x:v>
      </x:c>
      <x:c r="K58" s="23" t="str">
        <x:v>中证1000</x:v>
      </x:c>
    </x:row>
    <x:row r="59">
      <x:c r="A59" s="23" t="n">
        <x:v>9</x:v>
      </x:c>
      <x:c r="B59" s="23" t="str">
        <x:v>周四</x:v>
      </x:c>
      <x:c r="C59" s="23" t="str">
        <x:v>3月13日</x:v>
      </x:c>
      <x:c r="D59" s="24" t="n">
        <x:v>6558.419</x:v>
      </x:c>
      <x:c r="E59" s="24" t="n">
        <x:v>6570.887</x:v>
      </x:c>
      <x:c r="F59" s="24" t="n">
        <x:v>6405.732</x:v>
      </x:c>
      <x:c r="G59" s="24" t="n">
        <x:v>6466.851</x:v>
      </x:c>
      <x:c r="H59" s="24" t="n">
        <x:v>-100.1</x:v>
      </x:c>
      <x:c r="I59" s="25" t="n">
        <x:v>-0.015245544062343575</x:v>
      </x:c>
      <x:c r="J59" s="24" t="n">
        <x:f>ROUND(E59-F59,1)</x:f>
        <x:v>165.2</x:v>
      </x:c>
      <x:c r="K59" s="23" t="str">
        <x:v>中证1000</x:v>
      </x:c>
    </x:row>
    <x:row r="60">
      <x:c r="A60" s="23" t="n">
        <x:v>10</x:v>
      </x:c>
      <x:c r="B60" s="23" t="str">
        <x:v>周五</x:v>
      </x:c>
      <x:c r="C60" s="23" t="str">
        <x:v>3月14日</x:v>
      </x:c>
      <x:c r="D60" s="24" t="n">
        <x:v>6463.925</x:v>
      </x:c>
      <x:c r="E60" s="24" t="n">
        <x:v>6575.819</x:v>
      </x:c>
      <x:c r="F60" s="24" t="n">
        <x:v>6428.225</x:v>
      </x:c>
      <x:c r="G60" s="24" t="n">
        <x:v>6571.171</x:v>
      </x:c>
      <x:c r="H60" s="24" t="n">
        <x:v>104.3</x:v>
      </x:c>
      <x:c r="I60" s="25" t="n">
        <x:v>0.016131498932015154</x:v>
      </x:c>
      <x:c r="J60" s="24" t="n">
        <x:f>ROUND(E60-F60,1)</x:f>
        <x:v>147.6</x:v>
      </x:c>
      <x:c r="K60" s="23" t="str">
        <x:v>中证1000</x:v>
      </x:c>
    </x:row>
    <x:row r="61">
      <x:c r="A61" s="23" t="n">
        <x:v>11</x:v>
      </x:c>
      <x:c r="B61" s="23" t="str">
        <x:v>周一</x:v>
      </x:c>
      <x:c r="C61" s="23" t="str">
        <x:v>3月17日</x:v>
      </x:c>
      <x:c r="D61" s="24" t="n">
        <x:v>6585.821</x:v>
      </x:c>
      <x:c r="E61" s="24" t="n">
        <x:v>6609.889</x:v>
      </x:c>
      <x:c r="F61" s="24" t="n">
        <x:v>6557.634</x:v>
      </x:c>
      <x:c r="G61" s="24" t="n">
        <x:v>6589.566</x:v>
      </x:c>
      <x:c r="H61" s="24" t="n">
        <x:v>18.4</x:v>
      </x:c>
      <x:c r="I61" s="25" t="n">
        <x:v>0.0027993488527386923</x:v>
      </x:c>
      <x:c r="J61" s="24" t="n">
        <x:f>ROUND(E61-F61,1)</x:f>
        <x:v>52.3</x:v>
      </x:c>
      <x:c r="K61" s="23" t="str">
        <x:v>中证1000</x:v>
      </x:c>
    </x:row>
    <x:row r="62">
      <x:c r="A62" s="23" t="n">
        <x:v>12</x:v>
      </x:c>
      <x:c r="B62" s="23" t="str">
        <x:v>周二</x:v>
      </x:c>
      <x:c r="C62" s="23" t="str">
        <x:v>3月18日</x:v>
      </x:c>
      <x:c r="D62" s="24" t="n">
        <x:v>6605.043</x:v>
      </x:c>
      <x:c r="E62" s="24" t="n">
        <x:v>6642.857</x:v>
      </x:c>
      <x:c r="F62" s="24" t="n">
        <x:v>6581.965</x:v>
      </x:c>
      <x:c r="G62" s="24" t="n">
        <x:v>6611.926</x:v>
      </x:c>
      <x:c r="H62" s="24" t="n">
        <x:v>22.4</x:v>
      </x:c>
      <x:c r="I62" s="25" t="n">
        <x:v>0.0033932431968966004</x:v>
      </x:c>
      <x:c r="J62" s="24" t="n">
        <x:f>ROUND(E62-F62,1)</x:f>
        <x:v>60.9</x:v>
      </x:c>
      <x:c r="K62" s="23" t="str">
        <x:v>中证1000</x:v>
      </x:c>
    </x:row>
    <x:row r="63">
      <x:c r="A63" s="23" t="n">
        <x:v>13</x:v>
      </x:c>
      <x:c r="B63" s="23" t="str">
        <x:v>周三</x:v>
      </x:c>
      <x:c r="C63" s="23" t="str">
        <x:v>3月19日</x:v>
      </x:c>
      <x:c r="D63" s="24" t="n">
        <x:v>6590.555</x:v>
      </x:c>
      <x:c r="E63" s="24" t="n">
        <x:v>6598.508</x:v>
      </x:c>
      <x:c r="F63" s="24" t="n">
        <x:v>6536.716</x:v>
      </x:c>
      <x:c r="G63" s="24" t="n">
        <x:v>6564.677</x:v>
      </x:c>
      <x:c r="H63" s="24" t="n">
        <x:v>-47.2</x:v>
      </x:c>
      <x:c r="I63" s="25" t="n">
        <x:v>-0.007146026740166289</x:v>
      </x:c>
      <x:c r="J63" s="24" t="n">
        <x:f>ROUND(E63-F63,1)</x:f>
        <x:v>61.8</x:v>
      </x:c>
      <x:c r="K63" s="23" t="str">
        <x:v>中证1000</x:v>
      </x:c>
    </x:row>
    <x:row r="64">
      <x:c r="A64" s="23" t="n">
        <x:v>14</x:v>
      </x:c>
      <x:c r="B64" s="23" t="str">
        <x:v>周四</x:v>
      </x:c>
      <x:c r="C64" s="23" t="str">
        <x:v>3月20日</x:v>
      </x:c>
      <x:c r="D64" s="24" t="n">
        <x:v>6551.82</x:v>
      </x:c>
      <x:c r="E64" s="24" t="n">
        <x:v>6596.271</x:v>
      </x:c>
      <x:c r="F64" s="24" t="n">
        <x:v>6528.858</x:v>
      </x:c>
      <x:c r="G64" s="24" t="n">
        <x:v>6535.062</x:v>
      </x:c>
      <x:c r="H64" s="24" t="n">
        <x:v>-29.6</x:v>
      </x:c>
      <x:c r="I64" s="25" t="n">
        <x:v>-0.004511265367663886</x:v>
      </x:c>
      <x:c r="J64" s="24" t="n">
        <x:f>ROUND(E64-F64,1)</x:f>
        <x:v>67.4</x:v>
      </x:c>
      <x:c r="K64" s="23" t="str">
        <x:v>中证1000</x:v>
      </x:c>
    </x:row>
    <x:row r="65">
      <x:c r="A65" s="33" t="n">
        <x:v>15</x:v>
      </x:c>
      <x:c r="B65" s="33" t="str">
        <x:v>周五</x:v>
      </x:c>
      <x:c r="C65" s="33" t="str">
        <x:v>3月21日</x:v>
      </x:c>
      <x:c r="D65" s="34" t="n">
        <x:v>6507.95</x:v>
      </x:c>
      <x:c r="E65" s="34" t="n">
        <x:v>6531.76</x:v>
      </x:c>
      <x:c r="F65" s="34" t="n">
        <x:v>6389.615</x:v>
      </x:c>
      <x:c r="G65" s="34" t="n">
        <x:v>6405.611</x:v>
      </x:c>
      <x:c r="H65" s="34" t="n">
        <x:v>-129.5</x:v>
      </x:c>
      <x:c r="I65" s="35" t="n">
        <x:v>-0.019808687354458177</x:v>
      </x:c>
      <x:c r="J65" s="34" t="n">
        <x:f>ROUND(E65-F65,1)</x:f>
        <x:v>142.1</x:v>
      </x:c>
      <x:c r="K65" s="33" t="str">
        <x:v>中证1000</x:v>
      </x:c>
    </x:row>
    <x:row r="66">
      <x:c r="A66" s="23" t="n">
        <x:v>16</x:v>
      </x:c>
      <x:c r="B66" s="23" t="str">
        <x:v>周一</x:v>
      </x:c>
      <x:c r="C66" s="23" t="str">
        <x:v>3月24日</x:v>
      </x:c>
      <x:c r="D66" s="24" t="n">
        <x:v>6403.565</x:v>
      </x:c>
      <x:c r="E66" s="24" t="n">
        <x:v>6412.518</x:v>
      </x:c>
      <x:c r="F66" s="24" t="n">
        <x:v>6244.868</x:v>
      </x:c>
      <x:c r="G66" s="24" t="n">
        <x:v>6360.341</x:v>
      </x:c>
      <x:c r="H66" s="24" t="n">
        <x:v>-45.3</x:v>
      </x:c>
      <x:c r="I66" s="25" t="n">
        <x:v>-0.007067241516851341</x:v>
      </x:c>
      <x:c r="J66" s="24" t="n">
        <x:f>ROUND(E66-F66,1)</x:f>
        <x:v>167.6</x:v>
      </x:c>
      <x:c r="K66" s="23" t="str">
        <x:v>中证1000</x:v>
      </x:c>
    </x:row>
    <x:row r="67">
      <x:c r="A67" s="23" t="n">
        <x:v>17</x:v>
      </x:c>
      <x:c r="B67" s="23" t="str">
        <x:v>周二</x:v>
      </x:c>
      <x:c r="C67" s="23" t="str">
        <x:v>3月25日</x:v>
      </x:c>
      <x:c r="D67" s="24" t="n">
        <x:v>6355.814</x:v>
      </x:c>
      <x:c r="E67" s="24" t="n">
        <x:v>6382.188</x:v>
      </x:c>
      <x:c r="F67" s="24" t="n">
        <x:v>6289.124</x:v>
      </x:c>
      <x:c r="G67" s="24" t="n">
        <x:v>6310.764</x:v>
      </x:c>
      <x:c r="H67" s="24" t="n">
        <x:v>-49.6</x:v>
      </x:c>
      <x:c r="I67" s="25" t="n">
        <x:v>-0.007794707862361472</x:v>
      </x:c>
      <x:c r="J67" s="24" t="n">
        <x:f>ROUND(E67-F67,1)</x:f>
        <x:v>93.1</x:v>
      </x:c>
      <x:c r="K67" s="23" t="str">
        <x:v>中证1000</x:v>
      </x:c>
    </x:row>
    <x:row r="68">
      <x:c r="A68" s="23" t="n">
        <x:v>18</x:v>
      </x:c>
      <x:c r="B68" s="23" t="str">
        <x:v>周三</x:v>
      </x:c>
      <x:c r="C68" s="23" t="str">
        <x:v>3月26日</x:v>
      </x:c>
      <x:c r="D68" s="24" t="n">
        <x:v>6297.329</x:v>
      </x:c>
      <x:c r="E68" s="24" t="n">
        <x:v>6371.101</x:v>
      </x:c>
      <x:c r="F68" s="24" t="n">
        <x:v>6297.329</x:v>
      </x:c>
      <x:c r="G68" s="24" t="n">
        <x:v>6334.908</x:v>
      </x:c>
      <x:c r="H68" s="24" t="n">
        <x:v>24.1</x:v>
      </x:c>
      <x:c r="I68" s="25" t="n">
        <x:v>0.003825844224249364</x:v>
      </x:c>
      <x:c r="J68" s="24" t="n">
        <x:f>ROUND(E68-F68,1)</x:f>
        <x:v>73.8</x:v>
      </x:c>
      <x:c r="K68" s="23" t="str">
        <x:v>中证1000</x:v>
      </x:c>
    </x:row>
    <x:row r="69">
      <x:c r="A69" s="23" t="n">
        <x:v>19</x:v>
      </x:c>
      <x:c r="B69" s="23" t="str">
        <x:v>周四</x:v>
      </x:c>
      <x:c r="C69" s="23" t="str">
        <x:v>3月27日</x:v>
      </x:c>
      <x:c r="D69" s="24" t="n">
        <x:v>6315.097</x:v>
      </x:c>
      <x:c r="E69" s="24" t="n">
        <x:v>6394.21</x:v>
      </x:c>
      <x:c r="F69" s="24" t="n">
        <x:v>6254.887</x:v>
      </x:c>
      <x:c r="G69" s="24" t="n">
        <x:v>6328.767</x:v>
      </x:c>
      <x:c r="H69" s="24" t="n">
        <x:v>-6.1</x:v>
      </x:c>
      <x:c r="I69" s="25" t="n">
        <x:v>-0.0009693905578423978</x:v>
      </x:c>
      <x:c r="J69" s="24" t="n">
        <x:f>ROUND(E69-F69,1)</x:f>
        <x:v>139.3</x:v>
      </x:c>
      <x:c r="K69" s="23" t="str">
        <x:v>中证1000</x:v>
      </x:c>
    </x:row>
    <x:row r="70">
      <x:c r="A70" s="23" t="n">
        <x:v>20</x:v>
      </x:c>
      <x:c r="B70" s="23" t="str">
        <x:v>周五</x:v>
      </x:c>
      <x:c r="C70" s="23" t="str">
        <x:v>3月28日</x:v>
      </x:c>
      <x:c r="D70" s="24" t="n">
        <x:v>6326.813</x:v>
      </x:c>
      <x:c r="E70" s="24" t="n">
        <x:v>6356.804</x:v>
      </x:c>
      <x:c r="F70" s="24" t="n">
        <x:v>6261.686</x:v>
      </x:c>
      <x:c r="G70" s="24" t="n">
        <x:v>6268.321</x:v>
      </x:c>
      <x:c r="H70" s="24" t="n">
        <x:v>-60.4</x:v>
      </x:c>
      <x:c r="I70" s="25" t="n">
        <x:v>-0.009550991528049613</x:v>
      </x:c>
      <x:c r="J70" s="24" t="n">
        <x:f>ROUND(E70-F70,1)</x:f>
        <x:v>95.1</x:v>
      </x:c>
      <x:c r="K70" s="23" t="str">
        <x:v>中证1000</x:v>
      </x:c>
    </x:row>
    <x:row r="71">
      <x:c r="A71" s="23" t="n">
        <x:v>21</x:v>
      </x:c>
      <x:c r="B71" s="23" t="str">
        <x:v>周一</x:v>
      </x:c>
      <x:c r="C71" s="23" t="str">
        <x:v>3月31日</x:v>
      </x:c>
      <x:c r="D71" s="24" t="n">
        <x:v>6229.556</x:v>
      </x:c>
      <x:c r="E71" s="24" t="n">
        <x:v>6259.364</x:v>
      </x:c>
      <x:c r="F71" s="24" t="n">
        <x:v>6143.65</x:v>
      </x:c>
      <x:c r="G71" s="24" t="n">
        <x:v>6226.649</x:v>
      </x:c>
      <x:c r="H71" s="24" t="n">
        <x:v>-41.7</x:v>
      </x:c>
      <x:c r="I71" s="25" t="n">
        <x:v>-0.006648032224259026</x:v>
      </x:c>
      <x:c r="J71" s="24" t="n">
        <x:f>ROUND(E71-F71,1)</x:f>
        <x:v>115.7</x:v>
      </x:c>
      <x:c r="K71" s="23" t="str">
        <x:v>中证1000</x:v>
      </x:c>
    </x:row>
    <x:row r="72">
      <x:c r="A72" s="38" t="str">
        <x:v>合计</x:v>
      </x:c>
      <x:c r="B72" s="37" t="n">
        <x:v>21</x:v>
      </x:c>
      <x:c r="C72" s="37"/>
      <x:c r="D72" s="37"/>
      <x:c r="E72" s="37"/>
      <x:c r="F72" s="37"/>
      <x:c r="G72" s="37"/>
      <x:c r="H72" s="37"/>
      <x:c r="I72" s="37"/>
      <x:c r="J72" s="39" t="n">
        <x:f>ROUND(SUM(J51:J71),1)</x:f>
        <x:v>2240.6</x:v>
      </x:c>
      <x:c r="K72" s="37"/>
    </x:row>
    <x:row r="73">
      <x:c r="A73" s="38" t="str">
        <x:v>均值</x:v>
      </x:c>
      <x:c r="B73" s="37"/>
      <x:c r="C73" s="37"/>
      <x:c r="D73" s="37"/>
      <x:c r="E73" s="37"/>
      <x:c r="F73" s="37"/>
      <x:c r="G73" s="37"/>
      <x:c r="H73" s="37"/>
      <x:c r="I73" s="37"/>
      <x:c r="J73" s="41" t="n">
        <x:f>ROUND(IFERROR(AVERAGE(J51:J71),0),1)</x:f>
        <x:v>106.7</x:v>
      </x:c>
      <x:c r="K73" s="37"/>
    </x:row>
    <x:row r="75">
      <x:c r="A75" s="17" t="str">
        <x:v>4月</x:v>
      </x:c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</x:row>
    <x:row r="76">
      <x:c r="A76" s="20" t="str">
        <x:v>序号</x:v>
      </x:c>
      <x:c r="B76" s="20" t="str">
        <x:v>星期</x:v>
      </x:c>
      <x:c r="C76" s="20" t="str">
        <x:v>日期</x:v>
      </x:c>
      <x:c r="D76" s="20" t="str">
        <x:v>开盘</x:v>
      </x:c>
      <x:c r="E76" s="20" t="str">
        <x:v>高点</x:v>
      </x:c>
      <x:c r="F76" s="20" t="str">
        <x:v>低点</x:v>
      </x:c>
      <x:c r="G76" s="20" t="str">
        <x:v>收盘</x:v>
      </x:c>
      <x:c r="H76" s="20" t="str">
        <x:v>涨跌点数</x:v>
      </x:c>
      <x:c r="I76" s="20" t="str">
        <x:v>涨幅</x:v>
      </x:c>
      <x:c r="J76" s="20" t="str">
        <x:v>振幅</x:v>
      </x:c>
      <x:c r="K76" s="20" t="str">
        <x:v>标的</x:v>
      </x:c>
    </x:row>
    <x:row r="77">
      <x:c r="A77" s="23" t="n">
        <x:v>1</x:v>
      </x:c>
      <x:c r="B77" s="23" t="str">
        <x:v>周二</x:v>
      </x:c>
      <x:c r="C77" s="23" t="str">
        <x:v>4月1日</x:v>
      </x:c>
      <x:c r="D77" s="24" t="n">
        <x:v>6242.071</x:v>
      </x:c>
      <x:c r="E77" s="24" t="n">
        <x:v>6300.666</x:v>
      </x:c>
      <x:c r="F77" s="24" t="n">
        <x:v>6240.204</x:v>
      </x:c>
      <x:c r="G77" s="24" t="n">
        <x:v>6259.484</x:v>
      </x:c>
      <x:c r="H77" s="24" t="n">
        <x:v>32.8</x:v>
      </x:c>
      <x:c r="I77" s="25" t="n">
        <x:v>0.005273301899625382</x:v>
      </x:c>
      <x:c r="J77" s="24" t="n">
        <x:f>ROUND(E77-F77,1)</x:f>
        <x:v>60.5</x:v>
      </x:c>
      <x:c r="K77" s="23" t="str">
        <x:v>中证1000</x:v>
      </x:c>
    </x:row>
    <x:row r="78">
      <x:c r="A78" s="23" t="n">
        <x:v>2</x:v>
      </x:c>
      <x:c r="B78" s="23" t="str">
        <x:v>周三</x:v>
      </x:c>
      <x:c r="C78" s="23" t="str">
        <x:v>4月2日</x:v>
      </x:c>
      <x:c r="D78" s="24" t="n">
        <x:v>6252.63</x:v>
      </x:c>
      <x:c r="E78" s="24" t="n">
        <x:v>6316.636</x:v>
      </x:c>
      <x:c r="F78" s="24" t="n">
        <x:v>6251.852</x:v>
      </x:c>
      <x:c r="G78" s="24" t="n">
        <x:v>6277.253</x:v>
      </x:c>
      <x:c r="H78" s="24" t="n">
        <x:v>17.8</x:v>
      </x:c>
      <x:c r="I78" s="25" t="n">
        <x:v>0.002838732393916077</x:v>
      </x:c>
      <x:c r="J78" s="24" t="n">
        <x:f>ROUND(E78-F78,1)</x:f>
        <x:v>64.8</x:v>
      </x:c>
      <x:c r="K78" s="23" t="str">
        <x:v>中证1000</x:v>
      </x:c>
    </x:row>
    <x:row r="79">
      <x:c r="A79" s="23" t="n">
        <x:v>3</x:v>
      </x:c>
      <x:c r="B79" s="23" t="str">
        <x:v>周四</x:v>
      </x:c>
      <x:c r="C79" s="23" t="str">
        <x:v>4月3日</x:v>
      </x:c>
      <x:c r="D79" s="24" t="n">
        <x:v>6208.288</x:v>
      </x:c>
      <x:c r="E79" s="24" t="n">
        <x:v>6299.165</x:v>
      </x:c>
      <x:c r="F79" s="24" t="n">
        <x:v>6168.535</x:v>
      </x:c>
      <x:c r="G79" s="24" t="n">
        <x:v>6203.257</x:v>
      </x:c>
      <x:c r="H79" s="24" t="n">
        <x:v>-74</x:v>
      </x:c>
      <x:c r="I79" s="25" t="n">
        <x:v>-0.01178795884123196</x:v>
      </x:c>
      <x:c r="J79" s="24" t="n">
        <x:f>ROUND(E79-F79,1)</x:f>
        <x:v>130.6</x:v>
      </x:c>
      <x:c r="K79" s="23" t="str">
        <x:v>中证1000</x:v>
      </x:c>
    </x:row>
    <x:row r="80">
      <x:c r="A80" s="23" t="n">
        <x:v>4</x:v>
      </x:c>
      <x:c r="B80" s="23" t="str">
        <x:v>周一</x:v>
      </x:c>
      <x:c r="C80" s="23" t="str">
        <x:v>4月7日</x:v>
      </x:c>
      <x:c r="D80" s="24" t="n">
        <x:v>5811.544</x:v>
      </x:c>
      <x:c r="E80" s="24" t="n">
        <x:v>5905.573</x:v>
      </x:c>
      <x:c r="F80" s="24" t="n">
        <x:v>5437.453</x:v>
      </x:c>
      <x:c r="G80" s="24" t="n">
        <x:v>5496.443</x:v>
      </x:c>
      <x:c r="H80" s="27" t="n">
        <x:v>-706.8</x:v>
      </x:c>
      <x:c r="I80" s="25" t="n">
        <x:v>-0.11394240154808988</x:v>
      </x:c>
      <x:c r="J80" s="29" t="n">
        <x:f>ROUND(E80-F80,1)</x:f>
        <x:v>468.1</x:v>
      </x:c>
      <x:c r="K80" s="23" t="str">
        <x:v>中证1000</x:v>
      </x:c>
    </x:row>
    <x:row r="81">
      <x:c r="A81" s="23" t="n">
        <x:v>5</x:v>
      </x:c>
      <x:c r="B81" s="23" t="str">
        <x:v>周二</x:v>
      </x:c>
      <x:c r="C81" s="23" t="str">
        <x:v>4月8日</x:v>
      </x:c>
      <x:c r="D81" s="24" t="n">
        <x:v>5475.56</x:v>
      </x:c>
      <x:c r="E81" s="24" t="n">
        <x:v>5632.641</x:v>
      </x:c>
      <x:c r="F81" s="24" t="n">
        <x:v>5426.034</x:v>
      </x:c>
      <x:c r="G81" s="24" t="n">
        <x:v>5530.019</x:v>
      </x:c>
      <x:c r="H81" s="24" t="n">
        <x:v>33.6</x:v>
      </x:c>
      <x:c r="I81" s="25" t="n">
        <x:v>0.0061086779213392894</x:v>
      </x:c>
      <x:c r="J81" s="29" t="n">
        <x:f>ROUND(E81-F81,1)</x:f>
        <x:v>206.6</x:v>
      </x:c>
      <x:c r="K81" s="23" t="str">
        <x:v>中证1000</x:v>
      </x:c>
    </x:row>
    <x:row r="82">
      <x:c r="A82" s="23" t="n">
        <x:v>6</x:v>
      </x:c>
      <x:c r="B82" s="23" t="str">
        <x:v>周三</x:v>
      </x:c>
      <x:c r="C82" s="23" t="str">
        <x:v>4月9日</x:v>
      </x:c>
      <x:c r="D82" s="24" t="n">
        <x:v>5439.177</x:v>
      </x:c>
      <x:c r="E82" s="24" t="n">
        <x:v>5688.485</x:v>
      </x:c>
      <x:c r="F82" s="24" t="n">
        <x:v>5224.973</x:v>
      </x:c>
      <x:c r="G82" s="24" t="n">
        <x:v>5652.33</x:v>
      </x:c>
      <x:c r="H82" s="24" t="n">
        <x:v>122.3</x:v>
      </x:c>
      <x:c r="I82" s="25" t="n">
        <x:v>0.022117645527076846</x:v>
      </x:c>
      <x:c r="J82" s="29" t="n">
        <x:f>ROUND(E82-F82,1)</x:f>
        <x:v>463.5</x:v>
      </x:c>
      <x:c r="K82" s="23" t="str">
        <x:v>中证1000</x:v>
      </x:c>
    </x:row>
    <x:row r="83">
      <x:c r="A83" s="23" t="n">
        <x:v>7</x:v>
      </x:c>
      <x:c r="B83" s="23" t="str">
        <x:v>周四</x:v>
      </x:c>
      <x:c r="C83" s="23" t="str">
        <x:v>4月10日</x:v>
      </x:c>
      <x:c r="D83" s="24" t="n">
        <x:v>5766.505</x:v>
      </x:c>
      <x:c r="E83" s="24" t="n">
        <x:v>5883.459</x:v>
      </x:c>
      <x:c r="F83" s="24" t="n">
        <x:v>5766.406</x:v>
      </x:c>
      <x:c r="G83" s="24" t="n">
        <x:v>5784.585</x:v>
      </x:c>
      <x:c r="H83" s="24" t="n">
        <x:v>132.3</x:v>
      </x:c>
      <x:c r="I83" s="25" t="n">
        <x:v>0.023398315384982826</x:v>
      </x:c>
      <x:c r="J83" s="24" t="n">
        <x:f>ROUND(E83-F83,1)</x:f>
        <x:v>117.1</x:v>
      </x:c>
      <x:c r="K83" s="23" t="str">
        <x:v>中证1000</x:v>
      </x:c>
    </x:row>
    <x:row r="84">
      <x:c r="A84" s="23" t="n">
        <x:v>8</x:v>
      </x:c>
      <x:c r="B84" s="23" t="str">
        <x:v>周五</x:v>
      </x:c>
      <x:c r="C84" s="23" t="str">
        <x:v>4月11日</x:v>
      </x:c>
      <x:c r="D84" s="24" t="n">
        <x:v>5744.795</x:v>
      </x:c>
      <x:c r="E84" s="24" t="n">
        <x:v>5923.136</x:v>
      </x:c>
      <x:c r="F84" s="24" t="n">
        <x:v>5743.078</x:v>
      </x:c>
      <x:c r="G84" s="24" t="n">
        <x:v>5862.188</x:v>
      </x:c>
      <x:c r="H84" s="24" t="n">
        <x:v>77.6</x:v>
      </x:c>
      <x:c r="I84" s="25" t="n">
        <x:v>0.013415482701006232</x:v>
      </x:c>
      <x:c r="J84" s="29" t="n">
        <x:f>ROUND(E84-F84,1)</x:f>
        <x:v>180.1</x:v>
      </x:c>
      <x:c r="K84" s="23" t="str">
        <x:v>中证1000</x:v>
      </x:c>
    </x:row>
    <x:row r="85">
      <x:c r="A85" s="23" t="n">
        <x:v>9</x:v>
      </x:c>
      <x:c r="B85" s="23" t="str">
        <x:v>周一</x:v>
      </x:c>
      <x:c r="C85" s="23" t="str">
        <x:v>4月14日</x:v>
      </x:c>
      <x:c r="D85" s="24" t="n">
        <x:v>5933.992</x:v>
      </x:c>
      <x:c r="E85" s="24" t="n">
        <x:v>5979.902</x:v>
      </x:c>
      <x:c r="F85" s="24" t="n">
        <x:v>5914.254</x:v>
      </x:c>
      <x:c r="G85" s="24" t="n">
        <x:v>5938.526</x:v>
      </x:c>
      <x:c r="H85" s="24" t="n">
        <x:v>76.3</x:v>
      </x:c>
      <x:c r="I85" s="25" t="n">
        <x:v>0.013022100280646098</x:v>
      </x:c>
      <x:c r="J85" s="24" t="n">
        <x:f>ROUND(E85-F85,1)</x:f>
        <x:v>65.6</x:v>
      </x:c>
      <x:c r="K85" s="23" t="str">
        <x:v>中证1000</x:v>
      </x:c>
    </x:row>
    <x:row r="86">
      <x:c r="A86" s="23" t="n">
        <x:v>10</x:v>
      </x:c>
      <x:c r="B86" s="23" t="str">
        <x:v>周二</x:v>
      </x:c>
      <x:c r="C86" s="23" t="str">
        <x:v>4月15日</x:v>
      </x:c>
      <x:c r="D86" s="24" t="n">
        <x:v>5938.573</x:v>
      </x:c>
      <x:c r="E86" s="24" t="n">
        <x:v>5949.861</x:v>
      </x:c>
      <x:c r="F86" s="24" t="n">
        <x:v>5872.287</x:v>
      </x:c>
      <x:c r="G86" s="24" t="n">
        <x:v>5914.029</x:v>
      </x:c>
      <x:c r="H86" s="24" t="n">
        <x:v>-24.5</x:v>
      </x:c>
      <x:c r="I86" s="25" t="n">
        <x:v>-0.00412509770943148</x:v>
      </x:c>
      <x:c r="J86" s="24" t="n">
        <x:f>ROUND(E86-F86,1)</x:f>
        <x:v>77.6</x:v>
      </x:c>
      <x:c r="K86" s="23" t="str">
        <x:v>中证1000</x:v>
      </x:c>
    </x:row>
    <x:row r="87">
      <x:c r="A87" s="23" t="n">
        <x:v>11</x:v>
      </x:c>
      <x:c r="B87" s="23" t="str">
        <x:v>周三</x:v>
      </x:c>
      <x:c r="C87" s="23" t="str">
        <x:v>4月16日</x:v>
      </x:c>
      <x:c r="D87" s="24" t="n">
        <x:v>5897.2</x:v>
      </x:c>
      <x:c r="E87" s="24" t="n">
        <x:v>5903.119</x:v>
      </x:c>
      <x:c r="F87" s="24" t="n">
        <x:v>5758.666</x:v>
      </x:c>
      <x:c r="G87" s="24" t="n">
        <x:v>5835.348</x:v>
      </x:c>
      <x:c r="H87" s="24" t="n">
        <x:v>-78.7</x:v>
      </x:c>
      <x:c r="I87" s="25" t="n">
        <x:v>-0.013304128200927079</x:v>
      </x:c>
      <x:c r="J87" s="24" t="n">
        <x:f>ROUND(E87-F87,1)</x:f>
        <x:v>144.5</x:v>
      </x:c>
      <x:c r="K87" s="23" t="str">
        <x:v>中证1000</x:v>
      </x:c>
    </x:row>
    <x:row r="88">
      <x:c r="A88" s="23" t="n">
        <x:v>12</x:v>
      </x:c>
      <x:c r="B88" s="23" t="str">
        <x:v>周四</x:v>
      </x:c>
      <x:c r="C88" s="23" t="str">
        <x:v>4月17日</x:v>
      </x:c>
      <x:c r="D88" s="24" t="n">
        <x:v>5802.293</x:v>
      </x:c>
      <x:c r="E88" s="24" t="n">
        <x:v>5898.179</x:v>
      </x:c>
      <x:c r="F88" s="24" t="n">
        <x:v>5801.12</x:v>
      </x:c>
      <x:c r="G88" s="24" t="n">
        <x:v>5839.564</x:v>
      </x:c>
      <x:c r="H88" s="24" t="n">
        <x:v>4.2</x:v>
      </x:c>
      <x:c r="I88" s="25" t="n">
        <x:v>0.0007224933285898683</x:v>
      </x:c>
      <x:c r="J88" s="24" t="n">
        <x:f>ROUND(E88-F88,1)</x:f>
        <x:v>97.1</x:v>
      </x:c>
      <x:c r="K88" s="23" t="str">
        <x:v>中证1000</x:v>
      </x:c>
    </x:row>
    <x:row r="89">
      <x:c r="A89" s="33" t="n">
        <x:v>13</x:v>
      </x:c>
      <x:c r="B89" s="33" t="str">
        <x:v>周五</x:v>
      </x:c>
      <x:c r="C89" s="33" t="str">
        <x:v>4月18日</x:v>
      </x:c>
      <x:c r="D89" s="34" t="n">
        <x:v>5833.108</x:v>
      </x:c>
      <x:c r="E89" s="34" t="n">
        <x:v>5855.692</x:v>
      </x:c>
      <x:c r="F89" s="34" t="n">
        <x:v>5793.787</x:v>
      </x:c>
      <x:c r="G89" s="34" t="n">
        <x:v>5831.687</x:v>
      </x:c>
      <x:c r="H89" s="34" t="n">
        <x:v>-7.9</x:v>
      </x:c>
      <x:c r="I89" s="35" t="n">
        <x:v>-0.0013489020755660386</x:v>
      </x:c>
      <x:c r="J89" s="34" t="n">
        <x:f>ROUND(E89-F89,1)</x:f>
        <x:v>61.9</x:v>
      </x:c>
      <x:c r="K89" s="33" t="str">
        <x:v>中证1000</x:v>
      </x:c>
    </x:row>
    <x:row r="90">
      <x:c r="A90" s="23" t="n">
        <x:v>14</x:v>
      </x:c>
      <x:c r="B90" s="23" t="str">
        <x:v>周一</x:v>
      </x:c>
      <x:c r="C90" s="23" t="str">
        <x:v>4月21日</x:v>
      </x:c>
      <x:c r="D90" s="24" t="n">
        <x:v>5826.622</x:v>
      </x:c>
      <x:c r="E90" s="24" t="n">
        <x:v>5952.718</x:v>
      </x:c>
      <x:c r="F90" s="24" t="n">
        <x:v>5802.835</x:v>
      </x:c>
      <x:c r="G90" s="24" t="n">
        <x:v>5952.637</x:v>
      </x:c>
      <x:c r="H90" s="24" t="n">
        <x:v>120.9</x:v>
      </x:c>
      <x:c r="I90" s="25" t="n">
        <x:v>0.020740139174135974</x:v>
      </x:c>
      <x:c r="J90" s="24" t="n">
        <x:f>ROUND(E90-F90,1)</x:f>
        <x:v>149.9</x:v>
      </x:c>
      <x:c r="K90" s="23" t="str">
        <x:v>中证1000</x:v>
      </x:c>
    </x:row>
    <x:row r="91">
      <x:c r="A91" s="23" t="n">
        <x:v>15</x:v>
      </x:c>
      <x:c r="B91" s="23" t="str">
        <x:v>周二</x:v>
      </x:c>
      <x:c r="C91" s="23" t="str">
        <x:v>4月22日</x:v>
      </x:c>
      <x:c r="D91" s="24" t="n">
        <x:v>5947.149</x:v>
      </x:c>
      <x:c r="E91" s="24" t="n">
        <x:v>5974.317</x:v>
      </x:c>
      <x:c r="F91" s="24" t="n">
        <x:v>5923.589</x:v>
      </x:c>
      <x:c r="G91" s="24" t="n">
        <x:v>5949.312</x:v>
      </x:c>
      <x:c r="H91" s="24" t="n">
        <x:v>-3.3</x:v>
      </x:c>
      <x:c r="I91" s="25" t="n">
        <x:v>-0.000558575972295916</x:v>
      </x:c>
      <x:c r="J91" s="24" t="n">
        <x:f>ROUND(E91-F91,1)</x:f>
        <x:v>50.7</x:v>
      </x:c>
      <x:c r="K91" s="23" t="str">
        <x:v>中证1000</x:v>
      </x:c>
    </x:row>
    <x:row r="92">
      <x:c r="A92" s="23" t="n">
        <x:v>16</x:v>
      </x:c>
      <x:c r="B92" s="23" t="str">
        <x:v>周三</x:v>
      </x:c>
      <x:c r="C92" s="23" t="str">
        <x:v>4月23日</x:v>
      </x:c>
      <x:c r="D92" s="24" t="n">
        <x:v>5971.473</x:v>
      </x:c>
      <x:c r="E92" s="24" t="n">
        <x:v>6013.275</x:v>
      </x:c>
      <x:c r="F92" s="24" t="n">
        <x:v>5954.027</x:v>
      </x:c>
      <x:c r="G92" s="24" t="n">
        <x:v>5984.583</x:v>
      </x:c>
      <x:c r="H92" s="24" t="n">
        <x:v>35.3</x:v>
      </x:c>
      <x:c r="I92" s="25" t="n">
        <x:v>0.005928584683405402</x:v>
      </x:c>
      <x:c r="J92" s="24" t="n">
        <x:f>ROUND(E92-F92,1)</x:f>
        <x:v>59.2</x:v>
      </x:c>
      <x:c r="K92" s="23" t="str">
        <x:v>中证1000</x:v>
      </x:c>
    </x:row>
    <x:row r="93">
      <x:c r="A93" s="23" t="n">
        <x:v>17</x:v>
      </x:c>
      <x:c r="B93" s="23" t="str">
        <x:v>周四</x:v>
      </x:c>
      <x:c r="C93" s="23" t="str">
        <x:v>4月24日</x:v>
      </x:c>
      <x:c r="D93" s="24" t="n">
        <x:v>5979.406</x:v>
      </x:c>
      <x:c r="E93" s="24" t="n">
        <x:v>5984.367</x:v>
      </x:c>
      <x:c r="F93" s="24" t="n">
        <x:v>5897.65</x:v>
      </x:c>
      <x:c r="G93" s="24" t="n">
        <x:v>5920.478</x:v>
      </x:c>
      <x:c r="H93" s="24" t="n">
        <x:v>-64.1</x:v>
      </x:c>
      <x:c r="I93" s="25" t="n">
        <x:v>-0.010711690355033832</x:v>
      </x:c>
      <x:c r="J93" s="24" t="n">
        <x:f>ROUND(E93-F93,1)</x:f>
        <x:v>86.7</x:v>
      </x:c>
      <x:c r="K93" s="23" t="str">
        <x:v>中证1000</x:v>
      </x:c>
    </x:row>
    <x:row r="94">
      <x:c r="A94" s="23" t="n">
        <x:v>18</x:v>
      </x:c>
      <x:c r="B94" s="23" t="str">
        <x:v>周五</x:v>
      </x:c>
      <x:c r="C94" s="23" t="str">
        <x:v>4月25日</x:v>
      </x:c>
      <x:c r="D94" s="24" t="n">
        <x:v>5927.316</x:v>
      </x:c>
      <x:c r="E94" s="24" t="n">
        <x:v>5982.715</x:v>
      </x:c>
      <x:c r="F94" s="24" t="n">
        <x:v>5901.077</x:v>
      </x:c>
      <x:c r="G94" s="24" t="n">
        <x:v>5939.502</x:v>
      </x:c>
      <x:c r="H94" s="24" t="n">
        <x:v>19</x:v>
      </x:c>
      <x:c r="I94" s="25" t="n">
        <x:v>0.0032132540649589814</x:v>
      </x:c>
      <x:c r="J94" s="24" t="n">
        <x:f>ROUND(E94-F94,1)</x:f>
        <x:v>81.6</x:v>
      </x:c>
      <x:c r="K94" s="23" t="str">
        <x:v>中证1000</x:v>
      </x:c>
    </x:row>
    <x:row r="95">
      <x:c r="A95" s="23" t="n">
        <x:v>19</x:v>
      </x:c>
      <x:c r="B95" s="23" t="str">
        <x:v>周一</x:v>
      </x:c>
      <x:c r="C95" s="23" t="str">
        <x:v>4月28日</x:v>
      </x:c>
      <x:c r="D95" s="24" t="n">
        <x:v>5933.419</x:v>
      </x:c>
      <x:c r="E95" s="24" t="n">
        <x:v>5939.958</x:v>
      </x:c>
      <x:c r="F95" s="24" t="n">
        <x:v>5868.872</x:v>
      </x:c>
      <x:c r="G95" s="24" t="n">
        <x:v>5877.057</x:v>
      </x:c>
      <x:c r="H95" s="24" t="n">
        <x:v>-62.4</x:v>
      </x:c>
      <x:c r="I95" s="25" t="n">
        <x:v>-0.010513507698120206</x:v>
      </x:c>
      <x:c r="J95" s="24" t="n">
        <x:f>ROUND(E95-F95,1)</x:f>
        <x:v>71.1</x:v>
      </x:c>
      <x:c r="K95" s="23" t="str">
        <x:v>中证1000</x:v>
      </x:c>
    </x:row>
    <x:row r="96">
      <x:c r="A96" s="23" t="n">
        <x:v>20</x:v>
      </x:c>
      <x:c r="B96" s="23" t="str">
        <x:v>周二</x:v>
      </x:c>
      <x:c r="C96" s="23" t="str">
        <x:v>4月29日</x:v>
      </x:c>
      <x:c r="D96" s="24" t="n">
        <x:v>5850.827</x:v>
      </x:c>
      <x:c r="E96" s="24" t="n">
        <x:v>5921.556</x:v>
      </x:c>
      <x:c r="F96" s="24" t="n">
        <x:v>5836.031</x:v>
      </x:c>
      <x:c r="G96" s="24" t="n">
        <x:v>5903.381</x:v>
      </x:c>
      <x:c r="H96" s="24" t="n">
        <x:v>26.3</x:v>
      </x:c>
      <x:c r="I96" s="25" t="n">
        <x:v>0.004479112589855783</x:v>
      </x:c>
      <x:c r="J96" s="24" t="n">
        <x:f>ROUND(E96-F96,1)</x:f>
        <x:v>85.5</x:v>
      </x:c>
      <x:c r="K96" s="23" t="str">
        <x:v>中证1000</x:v>
      </x:c>
    </x:row>
    <x:row r="97">
      <x:c r="A97" s="23" t="n">
        <x:v>21</x:v>
      </x:c>
      <x:c r="B97" s="23" t="str">
        <x:v>周三</x:v>
      </x:c>
      <x:c r="C97" s="23" t="str">
        <x:v>4月30日</x:v>
      </x:c>
      <x:c r="D97" s="24" t="n">
        <x:v>5907.188</x:v>
      </x:c>
      <x:c r="E97" s="24" t="n">
        <x:v>5972.655</x:v>
      </x:c>
      <x:c r="F97" s="24" t="n">
        <x:v>5907.188</x:v>
      </x:c>
      <x:c r="G97" s="24" t="n">
        <x:v>5950.117</x:v>
      </x:c>
      <x:c r="H97" s="24" t="n">
        <x:v>46.7</x:v>
      </x:c>
      <x:c r="I97" s="25" t="n">
        <x:v>0.007916819192256064</x:v>
      </x:c>
      <x:c r="J97" s="24" t="n">
        <x:f>ROUND(E97-F97,1)</x:f>
        <x:v>65.5</x:v>
      </x:c>
      <x:c r="K97" s="23" t="str">
        <x:v>中证1000</x:v>
      </x:c>
    </x:row>
    <x:row r="98">
      <x:c r="A98" s="38" t="str">
        <x:v>合计</x:v>
      </x:c>
      <x:c r="B98" s="37" t="n">
        <x:v>21</x:v>
      </x:c>
      <x:c r="C98" s="37"/>
      <x:c r="D98" s="37"/>
      <x:c r="E98" s="37"/>
      <x:c r="F98" s="37"/>
      <x:c r="G98" s="37"/>
      <x:c r="H98" s="37"/>
      <x:c r="I98" s="37"/>
      <x:c r="J98" s="39" t="n">
        <x:f>ROUND(SUM(J77:J97),1)</x:f>
        <x:v>2788.2</x:v>
      </x:c>
      <x:c r="K98" s="37"/>
    </x:row>
    <x:row r="99">
      <x:c r="A99" s="38" t="str">
        <x:v>均值</x:v>
      </x:c>
      <x:c r="B99" s="37"/>
      <x:c r="C99" s="37"/>
      <x:c r="D99" s="37"/>
      <x:c r="E99" s="37"/>
      <x:c r="F99" s="37"/>
      <x:c r="G99" s="37"/>
      <x:c r="H99" s="37"/>
      <x:c r="I99" s="37"/>
      <x:c r="J99" s="41" t="n">
        <x:f>ROUND(IFERROR(AVERAGE(J77:J97),0),1)</x:f>
        <x:v>132.8</x:v>
      </x:c>
      <x:c r="K99" s="37"/>
    </x:row>
    <x:row r="101">
      <x:c r="A101" s="17" t="str">
        <x:v>5月</x:v>
      </x:c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</x:row>
    <x:row r="102">
      <x:c r="A102" s="20" t="str">
        <x:v>序号</x:v>
      </x:c>
      <x:c r="B102" s="20" t="str">
        <x:v>星期</x:v>
      </x:c>
      <x:c r="C102" s="20" t="str">
        <x:v>日期</x:v>
      </x:c>
      <x:c r="D102" s="20" t="str">
        <x:v>开盘</x:v>
      </x:c>
      <x:c r="E102" s="20" t="str">
        <x:v>高点</x:v>
      </x:c>
      <x:c r="F102" s="20" t="str">
        <x:v>低点</x:v>
      </x:c>
      <x:c r="G102" s="20" t="str">
        <x:v>收盘</x:v>
      </x:c>
      <x:c r="H102" s="20" t="str">
        <x:v>涨跌点数</x:v>
      </x:c>
      <x:c r="I102" s="20" t="str">
        <x:v>涨幅</x:v>
      </x:c>
      <x:c r="J102" s="20" t="str">
        <x:v>振幅</x:v>
      </x:c>
      <x:c r="K102" s="20" t="str">
        <x:v>标的</x:v>
      </x:c>
    </x:row>
    <x:row r="103">
      <x:c r="A103" s="23" t="n">
        <x:v>1</x:v>
      </x:c>
      <x:c r="B103" s="23" t="str">
        <x:v>周二</x:v>
      </x:c>
      <x:c r="C103" s="23" t="str">
        <x:v>5月6日</x:v>
      </x:c>
      <x:c r="D103" s="24" t="n">
        <x:v>5993.334</x:v>
      </x:c>
      <x:c r="E103" s="24" t="n">
        <x:v>6102.922</x:v>
      </x:c>
      <x:c r="F103" s="24" t="n">
        <x:v>5993.334</x:v>
      </x:c>
      <x:c r="G103" s="24" t="n">
        <x:v>6102.922</x:v>
      </x:c>
      <x:c r="H103" s="27" t="n">
        <x:v>152.8</x:v>
      </x:c>
      <x:c r="I103" s="25" t="n">
        <x:v>0.025681007617160967</x:v>
      </x:c>
      <x:c r="J103" s="24" t="n">
        <x:f>ROUND(E103-F103,1)</x:f>
        <x:v>109.6</x:v>
      </x:c>
      <x:c r="K103" s="23" t="str">
        <x:v>中证1000</x:v>
      </x:c>
    </x:row>
    <x:row r="104">
      <x:c r="A104" s="23" t="n">
        <x:v>2</x:v>
      </x:c>
      <x:c r="B104" s="23" t="str">
        <x:v>周三</x:v>
      </x:c>
      <x:c r="C104" s="23" t="str">
        <x:v>5月7日</x:v>
      </x:c>
      <x:c r="D104" s="24" t="n">
        <x:v>6171.607</x:v>
      </x:c>
      <x:c r="E104" s="24" t="n">
        <x:v>6195.139</x:v>
      </x:c>
      <x:c r="F104" s="24" t="n">
        <x:v>6063.644</x:v>
      </x:c>
      <x:c r="G104" s="24" t="n">
        <x:v>6111.495</x:v>
      </x:c>
      <x:c r="H104" s="24" t="n">
        <x:v>8.6</x:v>
      </x:c>
      <x:c r="I104" s="25" t="n">
        <x:v>0.001404736944040863</x:v>
      </x:c>
      <x:c r="J104" s="24" t="n">
        <x:f>ROUND(E104-F104,1)</x:f>
        <x:v>131.5</x:v>
      </x:c>
      <x:c r="K104" s="23" t="str">
        <x:v>中证1000</x:v>
      </x:c>
    </x:row>
    <x:row r="105">
      <x:c r="A105" s="23" t="n">
        <x:v>3</x:v>
      </x:c>
      <x:c r="B105" s="23" t="str">
        <x:v>周四</x:v>
      </x:c>
      <x:c r="C105" s="23" t="str">
        <x:v>5月8日</x:v>
      </x:c>
      <x:c r="D105" s="24" t="n">
        <x:v>6093.56</x:v>
      </x:c>
      <x:c r="E105" s="24" t="n">
        <x:v>6167.146</x:v>
      </x:c>
      <x:c r="F105" s="24" t="n">
        <x:v>6087.372</x:v>
      </x:c>
      <x:c r="G105" s="24" t="n">
        <x:v>6158.077</x:v>
      </x:c>
      <x:c r="H105" s="24" t="n">
        <x:v>46.6</x:v>
      </x:c>
      <x:c r="I105" s="25" t="n">
        <x:v>0.007622030288824577</x:v>
      </x:c>
      <x:c r="J105" s="24" t="n">
        <x:f>ROUND(E105-F105,1)</x:f>
        <x:v>79.8</x:v>
      </x:c>
      <x:c r="K105" s="23" t="str">
        <x:v>中证1000</x:v>
      </x:c>
    </x:row>
    <x:row r="106">
      <x:c r="A106" s="23" t="n">
        <x:v>4</x:v>
      </x:c>
      <x:c r="B106" s="23" t="str">
        <x:v>周五</x:v>
      </x:c>
      <x:c r="C106" s="23" t="str">
        <x:v>5月9日</x:v>
      </x:c>
      <x:c r="D106" s="24" t="n">
        <x:v>6153.529</x:v>
      </x:c>
      <x:c r="E106" s="24" t="n">
        <x:v>6153.529</x:v>
      </x:c>
      <x:c r="F106" s="24" t="n">
        <x:v>6054.935</x:v>
      </x:c>
      <x:c r="G106" s="24" t="n">
        <x:v>6082.082</x:v>
      </x:c>
      <x:c r="H106" s="24" t="n">
        <x:v>-76</x:v>
      </x:c>
      <x:c r="I106" s="25" t="n">
        <x:v>-0.01234070311235147</x:v>
      </x:c>
      <x:c r="J106" s="24" t="n">
        <x:f>ROUND(E106-F106,1)</x:f>
        <x:v>98.6</x:v>
      </x:c>
      <x:c r="K106" s="23" t="str">
        <x:v>中证1000</x:v>
      </x:c>
    </x:row>
    <x:row r="107">
      <x:c r="A107" s="23" t="n">
        <x:v>5</x:v>
      </x:c>
      <x:c r="B107" s="23" t="str">
        <x:v>周一</x:v>
      </x:c>
      <x:c r="C107" s="23" t="str">
        <x:v>5月12日</x:v>
      </x:c>
      <x:c r="D107" s="24" t="n">
        <x:v>6122.669</x:v>
      </x:c>
      <x:c r="E107" s="24" t="n">
        <x:v>6167.461</x:v>
      </x:c>
      <x:c r="F107" s="24" t="n">
        <x:v>6110.022</x:v>
      </x:c>
      <x:c r="G107" s="24" t="n">
        <x:v>6167.461</x:v>
      </x:c>
      <x:c r="H107" s="24" t="n">
        <x:v>85.4</x:v>
      </x:c>
      <x:c r="I107" s="25" t="n">
        <x:v>0.01403779166410457</x:v>
      </x:c>
      <x:c r="J107" s="24" t="n">
        <x:f>ROUND(E107-F107,1)</x:f>
        <x:v>57.4</x:v>
      </x:c>
      <x:c r="K107" s="23" t="str">
        <x:v>中证1000</x:v>
      </x:c>
    </x:row>
    <x:row r="108">
      <x:c r="A108" s="23" t="n">
        <x:v>6</x:v>
      </x:c>
      <x:c r="B108" s="23" t="str">
        <x:v>周二</x:v>
      </x:c>
      <x:c r="C108" s="23" t="str">
        <x:v>5月13日</x:v>
      </x:c>
      <x:c r="D108" s="24" t="n">
        <x:v>6219.454</x:v>
      </x:c>
      <x:c r="E108" s="24" t="n">
        <x:v>6220.445</x:v>
      </x:c>
      <x:c r="F108" s="24" t="n">
        <x:v>6141.68</x:v>
      </x:c>
      <x:c r="G108" s="24" t="n">
        <x:v>6151.01</x:v>
      </x:c>
      <x:c r="H108" s="24" t="n">
        <x:v>-16.5</x:v>
      </x:c>
      <x:c r="I108" s="25" t="n">
        <x:v>-0.002667386141558148</x:v>
      </x:c>
      <x:c r="J108" s="24" t="n">
        <x:f>ROUND(E108-F108,1)</x:f>
        <x:v>78.8</x:v>
      </x:c>
      <x:c r="K108" s="23" t="str">
        <x:v>中证1000</x:v>
      </x:c>
    </x:row>
    <x:row r="109">
      <x:c r="A109" s="23" t="n">
        <x:v>7</x:v>
      </x:c>
      <x:c r="B109" s="23" t="str">
        <x:v>周三</x:v>
      </x:c>
      <x:c r="C109" s="23" t="str">
        <x:v>5月14日</x:v>
      </x:c>
      <x:c r="D109" s="24" t="n">
        <x:v>6144.246</x:v>
      </x:c>
      <x:c r="E109" s="24" t="n">
        <x:v>6199.299</x:v>
      </x:c>
      <x:c r="F109" s="24" t="n">
        <x:v>6111.112</x:v>
      </x:c>
      <x:c r="G109" s="24" t="n">
        <x:v>6160.37</x:v>
      </x:c>
      <x:c r="H109" s="24" t="n">
        <x:v>9.4</x:v>
      </x:c>
      <x:c r="I109" s="25" t="n">
        <x:v>0.0015217013140931268</x:v>
      </x:c>
      <x:c r="J109" s="24" t="n">
        <x:f>ROUND(E109-F109,1)</x:f>
        <x:v>88.2</x:v>
      </x:c>
      <x:c r="K109" s="23" t="str">
        <x:v>中证1000</x:v>
      </x:c>
    </x:row>
    <x:row r="110">
      <x:c r="A110" s="23" t="n">
        <x:v>8</x:v>
      </x:c>
      <x:c r="B110" s="23" t="str">
        <x:v>周四</x:v>
      </x:c>
      <x:c r="C110" s="23" t="str">
        <x:v>5月15日</x:v>
      </x:c>
      <x:c r="D110" s="24" t="n">
        <x:v>6146.002</x:v>
      </x:c>
      <x:c r="E110" s="24" t="n">
        <x:v>6146.002</x:v>
      </x:c>
      <x:c r="F110" s="24" t="n">
        <x:v>6055.839</x:v>
      </x:c>
      <x:c r="G110" s="24" t="n">
        <x:v>6057.036</x:v>
      </x:c>
      <x:c r="H110" s="24" t="n">
        <x:v>-103.3</x:v>
      </x:c>
      <x:c r="I110" s="25" t="n">
        <x:v>-0.016773992471231458</x:v>
      </x:c>
      <x:c r="J110" s="24" t="n">
        <x:f>ROUND(E110-F110,1)</x:f>
        <x:v>90.2</x:v>
      </x:c>
      <x:c r="K110" s="23" t="str">
        <x:v>中证1000</x:v>
      </x:c>
    </x:row>
    <x:row r="111">
      <x:c r="A111" s="33" t="n">
        <x:v>9</x:v>
      </x:c>
      <x:c r="B111" s="33" t="str">
        <x:v>周五</x:v>
      </x:c>
      <x:c r="C111" s="33" t="str">
        <x:v>5月16日</x:v>
      </x:c>
      <x:c r="D111" s="34" t="n">
        <x:v>6042.22</x:v>
      </x:c>
      <x:c r="E111" s="34" t="n">
        <x:v>6098.878</x:v>
      </x:c>
      <x:c r="F111" s="34" t="n">
        <x:v>6042.22</x:v>
      </x:c>
      <x:c r="G111" s="34" t="n">
        <x:v>6068.117</x:v>
      </x:c>
      <x:c r="H111" s="34" t="n">
        <x:v>11.1</x:v>
      </x:c>
      <x:c r="I111" s="35" t="n">
        <x:v>0.0018294426514882112</x:v>
      </x:c>
      <x:c r="J111" s="34" t="n">
        <x:f>ROUND(E111-F111,1)</x:f>
        <x:v>56.7</x:v>
      </x:c>
      <x:c r="K111" s="33" t="str">
        <x:v>中证1000</x:v>
      </x:c>
    </x:row>
    <x:row r="112">
      <x:c r="A112" s="23" t="n">
        <x:v>10</x:v>
      </x:c>
      <x:c r="B112" s="23" t="str">
        <x:v>周一</x:v>
      </x:c>
      <x:c r="C112" s="23" t="str">
        <x:v>5月19日</x:v>
      </x:c>
      <x:c r="D112" s="24" t="n">
        <x:v>6073.203</x:v>
      </x:c>
      <x:c r="E112" s="24" t="n">
        <x:v>6100.802</x:v>
      </x:c>
      <x:c r="F112" s="24" t="n">
        <x:v>6009.951</x:v>
      </x:c>
      <x:c r="G112" s="24" t="n">
        <x:v>6095.337</x:v>
      </x:c>
      <x:c r="H112" s="24" t="n">
        <x:v>27.2</x:v>
      </x:c>
      <x:c r="I112" s="25" t="n">
        <x:v>0.004485740798999105</x:v>
      </x:c>
      <x:c r="J112" s="24" t="n">
        <x:f>ROUND(E112-F112,1)</x:f>
        <x:v>90.9</x:v>
      </x:c>
      <x:c r="K112" s="23" t="str">
        <x:v>中证1000</x:v>
      </x:c>
    </x:row>
    <x:row r="113">
      <x:c r="A113" s="23" t="n">
        <x:v>11</x:v>
      </x:c>
      <x:c r="B113" s="23" t="str">
        <x:v>周二</x:v>
      </x:c>
      <x:c r="C113" s="23" t="str">
        <x:v>5月20日</x:v>
      </x:c>
      <x:c r="D113" s="24" t="n">
        <x:v>6097.364</x:v>
      </x:c>
      <x:c r="E113" s="24" t="n">
        <x:v>6154.954</x:v>
      </x:c>
      <x:c r="F113" s="24" t="n">
        <x:v>6078.218</x:v>
      </x:c>
      <x:c r="G113" s="24" t="n">
        <x:v>6146.017</x:v>
      </x:c>
      <x:c r="H113" s="24" t="n">
        <x:v>50.7</x:v>
      </x:c>
      <x:c r="I113" s="25" t="n">
        <x:v>0.008314552583392754</x:v>
      </x:c>
      <x:c r="J113" s="24" t="n">
        <x:f>ROUND(E113-F113,1)</x:f>
        <x:v>76.7</x:v>
      </x:c>
      <x:c r="K113" s="23" t="str">
        <x:v>中证1000</x:v>
      </x:c>
    </x:row>
    <x:row r="114">
      <x:c r="A114" s="23" t="n">
        <x:v>12</x:v>
      </x:c>
      <x:c r="B114" s="23" t="str">
        <x:v>周三</x:v>
      </x:c>
      <x:c r="C114" s="23" t="str">
        <x:v>5月21日</x:v>
      </x:c>
      <x:c r="D114" s="24" t="n">
        <x:v>6137.096</x:v>
      </x:c>
      <x:c r="E114" s="24" t="n">
        <x:v>6141.726</x:v>
      </x:c>
      <x:c r="F114" s="24" t="n">
        <x:v>6109.925</x:v>
      </x:c>
      <x:c r="G114" s="24" t="n">
        <x:v>6132.181</x:v>
      </x:c>
      <x:c r="H114" s="24" t="n">
        <x:v>-13.8</x:v>
      </x:c>
      <x:c r="I114" s="25" t="n">
        <x:v>-0.002251214078971886</x:v>
      </x:c>
      <x:c r="J114" s="24" t="n">
        <x:f>ROUND(E114-F114,1)</x:f>
        <x:v>31.8</x:v>
      </x:c>
      <x:c r="K114" s="23" t="str">
        <x:v>中证1000</x:v>
      </x:c>
    </x:row>
    <x:row r="115">
      <x:c r="A115" s="23" t="n">
        <x:v>13</x:v>
      </x:c>
      <x:c r="B115" s="23" t="str">
        <x:v>周四</x:v>
      </x:c>
      <x:c r="C115" s="23" t="str">
        <x:v>5月22日</x:v>
      </x:c>
      <x:c r="D115" s="24" t="n">
        <x:v>6113.207</x:v>
      </x:c>
      <x:c r="E115" s="24" t="n">
        <x:v>6146.201</x:v>
      </x:c>
      <x:c r="F115" s="24" t="n">
        <x:v>6062.593</x:v>
      </x:c>
      <x:c r="G115" s="24" t="n">
        <x:v>6066.103</x:v>
      </x:c>
      <x:c r="H115" s="24" t="n">
        <x:v>-66.1</x:v>
      </x:c>
      <x:c r="I115" s="25" t="n">
        <x:v>-0.01077561148309214</x:v>
      </x:c>
      <x:c r="J115" s="24" t="n">
        <x:f>ROUND(E115-F115,1)</x:f>
        <x:v>83.6</x:v>
      </x:c>
      <x:c r="K115" s="23" t="str">
        <x:v>中证1000</x:v>
      </x:c>
    </x:row>
    <x:row r="116">
      <x:c r="A116" s="23" t="n">
        <x:v>14</x:v>
      </x:c>
      <x:c r="B116" s="23" t="str">
        <x:v>周五</x:v>
      </x:c>
      <x:c r="C116" s="23" t="str">
        <x:v>5月23日</x:v>
      </x:c>
      <x:c r="D116" s="24" t="n">
        <x:v>6060.518</x:v>
      </x:c>
      <x:c r="E116" s="24" t="n">
        <x:v>6099.227</x:v>
      </x:c>
      <x:c r="F116" s="24" t="n">
        <x:v>5989.675</x:v>
      </x:c>
      <x:c r="G116" s="24" t="n">
        <x:v>5989.675</x:v>
      </x:c>
      <x:c r="H116" s="24" t="n">
        <x:v>-76.4</x:v>
      </x:c>
      <x:c r="I116" s="25" t="n">
        <x:v>-0.012599192595311948</x:v>
      </x:c>
      <x:c r="J116" s="24" t="n">
        <x:f>ROUND(E116-F116,1)</x:f>
        <x:v>109.6</x:v>
      </x:c>
      <x:c r="K116" s="23" t="str">
        <x:v>中证1000</x:v>
      </x:c>
    </x:row>
    <x:row r="117">
      <x:c r="A117" s="23" t="n">
        <x:v>15</x:v>
      </x:c>
      <x:c r="B117" s="23" t="str">
        <x:v>周一</x:v>
      </x:c>
      <x:c r="C117" s="23" t="str">
        <x:v>5月26日</x:v>
      </x:c>
      <x:c r="D117" s="24" t="n">
        <x:v>5991.859</x:v>
      </x:c>
      <x:c r="E117" s="24" t="n">
        <x:v>6038.806</x:v>
      </x:c>
      <x:c r="F117" s="24" t="n">
        <x:v>5981.842</x:v>
      </x:c>
      <x:c r="G117" s="24" t="n">
        <x:v>6028.786</x:v>
      </x:c>
      <x:c r="H117" s="24" t="n">
        <x:v>39.1</x:v>
      </x:c>
      <x:c r="I117" s="25" t="n">
        <x:v>0.006529736588379187</x:v>
      </x:c>
      <x:c r="J117" s="24" t="n">
        <x:f>ROUND(E117-F117,1)</x:f>
        <x:v>57</x:v>
      </x:c>
      <x:c r="K117" s="23" t="str">
        <x:v>中证1000</x:v>
      </x:c>
    </x:row>
    <x:row r="118">
      <x:c r="A118" s="23" t="n">
        <x:v>16</x:v>
      </x:c>
      <x:c r="B118" s="23" t="str">
        <x:v>周二</x:v>
      </x:c>
      <x:c r="C118" s="23" t="str">
        <x:v>5月27日</x:v>
      </x:c>
      <x:c r="D118" s="24" t="n">
        <x:v>6019.543</x:v>
      </x:c>
      <x:c r="E118" s="24" t="n">
        <x:v>6023.144</x:v>
      </x:c>
      <x:c r="F118" s="24" t="n">
        <x:v>5971.347</x:v>
      </x:c>
      <x:c r="G118" s="24" t="n">
        <x:v>6008.46</x:v>
      </x:c>
      <x:c r="H118" s="24" t="n">
        <x:v>-20.3</x:v>
      </x:c>
      <x:c r="I118" s="25" t="n">
        <x:v>-0.0033714913748804642</x:v>
      </x:c>
      <x:c r="J118" s="24" t="n">
        <x:f>ROUND(E118-F118,1)</x:f>
        <x:v>51.8</x:v>
      </x:c>
      <x:c r="K118" s="23" t="str">
        <x:v>中证1000</x:v>
      </x:c>
    </x:row>
    <x:row r="119">
      <x:c r="A119" s="23" t="n">
        <x:v>17</x:v>
      </x:c>
      <x:c r="B119" s="23" t="str">
        <x:v>周三</x:v>
      </x:c>
      <x:c r="C119" s="23" t="str">
        <x:v>5月28日</x:v>
      </x:c>
      <x:c r="D119" s="24" t="n">
        <x:v>6006.889</x:v>
      </x:c>
      <x:c r="E119" s="24" t="n">
        <x:v>6023.825</x:v>
      </x:c>
      <x:c r="F119" s="24" t="n">
        <x:v>5972.184</x:v>
      </x:c>
      <x:c r="G119" s="24" t="n">
        <x:v>5984.456</x:v>
      </x:c>
      <x:c r="H119" s="24" t="n">
        <x:v>-24</x:v>
      </x:c>
      <x:c r="I119" s="25" t="n">
        <x:v>-0.003995033669193071</x:v>
      </x:c>
      <x:c r="J119" s="24" t="n">
        <x:f>ROUND(E119-F119,1)</x:f>
        <x:v>51.6</x:v>
      </x:c>
      <x:c r="K119" s="23" t="str">
        <x:v>中证1000</x:v>
      </x:c>
    </x:row>
    <x:row r="120">
      <x:c r="A120" s="23" t="n">
        <x:v>18</x:v>
      </x:c>
      <x:c r="B120" s="23" t="str">
        <x:v>周四</x:v>
      </x:c>
      <x:c r="C120" s="23" t="str">
        <x:v>5月29日</x:v>
      </x:c>
      <x:c r="D120" s="24" t="n">
        <x:v>5980.857</x:v>
      </x:c>
      <x:c r="E120" s="24" t="n">
        <x:v>6091.962</x:v>
      </x:c>
      <x:c r="F120" s="24" t="n">
        <x:v>5980.857</x:v>
      </x:c>
      <x:c r="G120" s="24" t="n">
        <x:v>6089.578</x:v>
      </x:c>
      <x:c r="H120" s="24" t="n">
        <x:v>105.1</x:v>
      </x:c>
      <x:c r="I120" s="25" t="n">
        <x:v>0.017565840570972657</x:v>
      </x:c>
      <x:c r="J120" s="24" t="n">
        <x:f>ROUND(E120-F120,1)</x:f>
        <x:v>111.1</x:v>
      </x:c>
      <x:c r="K120" s="23" t="str">
        <x:v>中证1000</x:v>
      </x:c>
    </x:row>
    <x:row r="121">
      <x:c r="A121" s="23" t="n">
        <x:v>19</x:v>
      </x:c>
      <x:c r="B121" s="23" t="str">
        <x:v>周五</x:v>
      </x:c>
      <x:c r="C121" s="23" t="str">
        <x:v>5月30日</x:v>
      </x:c>
      <x:c r="D121" s="24" t="n">
        <x:v>6075.45</x:v>
      </x:c>
      <x:c r="E121" s="24" t="n">
        <x:v>6075.45</x:v>
      </x:c>
      <x:c r="F121" s="24" t="n">
        <x:v>6016.891</x:v>
      </x:c>
      <x:c r="G121" s="24" t="n">
        <x:v>6026.56</x:v>
      </x:c>
      <x:c r="H121" s="24" t="n">
        <x:v>-63</x:v>
      </x:c>
      <x:c r="I121" s="25" t="n">
        <x:v>-0.010348500339432354</x:v>
      </x:c>
      <x:c r="J121" s="24" t="n">
        <x:f>ROUND(E121-F121,1)</x:f>
        <x:v>58.6</x:v>
      </x:c>
      <x:c r="K121" s="23" t="str">
        <x:v>中证1000</x:v>
      </x:c>
    </x:row>
    <x:row r="122">
      <x:c r="A122" s="38" t="str">
        <x:v>合计</x:v>
      </x:c>
      <x:c r="B122" s="37" t="n">
        <x:v>19</x:v>
      </x:c>
      <x:c r="C122" s="37"/>
      <x:c r="D122" s="37"/>
      <x:c r="E122" s="37"/>
      <x:c r="F122" s="37"/>
      <x:c r="G122" s="37"/>
      <x:c r="H122" s="37"/>
      <x:c r="I122" s="37"/>
      <x:c r="J122" s="39" t="n">
        <x:f>ROUND(SUM(J103:J121),1)</x:f>
        <x:v>1513.5</x:v>
      </x:c>
      <x:c r="K122" s="37"/>
    </x:row>
    <x:row r="123">
      <x:c r="A123" s="38" t="str">
        <x:v>均值</x:v>
      </x:c>
      <x:c r="B123" s="37"/>
      <x:c r="C123" s="37"/>
      <x:c r="D123" s="37"/>
      <x:c r="E123" s="37"/>
      <x:c r="F123" s="37"/>
      <x:c r="G123" s="37"/>
      <x:c r="H123" s="37"/>
      <x:c r="I123" s="37"/>
      <x:c r="J123" s="41" t="n">
        <x:f>ROUND(IFERROR(AVERAGE(J103:J121),0),1)</x:f>
        <x:v>79.7</x:v>
      </x:c>
      <x:c r="K123" s="37"/>
    </x:row>
    <x:row r="125">
      <x:c r="A125" s="17" t="str">
        <x:v>6月</x:v>
      </x:c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</x:row>
    <x:row r="126">
      <x:c r="A126" s="20" t="str">
        <x:v>序号</x:v>
      </x:c>
      <x:c r="B126" s="20" t="str">
        <x:v>星期</x:v>
      </x:c>
      <x:c r="C126" s="20" t="str">
        <x:v>日期</x:v>
      </x:c>
      <x:c r="D126" s="20" t="str">
        <x:v>开盘</x:v>
      </x:c>
      <x:c r="E126" s="20" t="str">
        <x:v>高点</x:v>
      </x:c>
      <x:c r="F126" s="20" t="str">
        <x:v>低点</x:v>
      </x:c>
      <x:c r="G126" s="20" t="str">
        <x:v>收盘</x:v>
      </x:c>
      <x:c r="H126" s="20" t="str">
        <x:v>涨跌点数</x:v>
      </x:c>
      <x:c r="I126" s="20" t="str">
        <x:v>涨幅</x:v>
      </x:c>
      <x:c r="J126" s="20" t="str">
        <x:v>振幅</x:v>
      </x:c>
      <x:c r="K126" s="20" t="str">
        <x:v>标的</x:v>
      </x:c>
    </x:row>
    <x:row r="127">
      <x:c r="A127" s="23" t="n">
        <x:v>1</x:v>
      </x:c>
      <x:c r="B127" s="23" t="str">
        <x:v>周二</x:v>
      </x:c>
      <x:c r="C127" s="23" t="str">
        <x:v>6月3日</x:v>
      </x:c>
      <x:c r="D127" s="24" t="n">
        <x:v>6009.184</x:v>
      </x:c>
      <x:c r="E127" s="24" t="n">
        <x:v>6086.616</x:v>
      </x:c>
      <x:c r="F127" s="24" t="n">
        <x:v>6008.545</x:v>
      </x:c>
      <x:c r="G127" s="24" t="n">
        <x:v>6070.037</x:v>
      </x:c>
      <x:c r="H127" s="24" t="n">
        <x:v>43.5</x:v>
      </x:c>
      <x:c r="I127" s="25" t="n">
        <x:v>0.007214231667817206</x:v>
      </x:c>
      <x:c r="J127" s="24" t="n">
        <x:f>ROUND(E127-F127,1)</x:f>
        <x:v>78.1</x:v>
      </x:c>
      <x:c r="K127" s="23" t="str">
        <x:v>中证1000</x:v>
      </x:c>
    </x:row>
    <x:row r="128">
      <x:c r="A128" s="23" t="n">
        <x:v>2</x:v>
      </x:c>
      <x:c r="B128" s="23" t="str">
        <x:v>周三</x:v>
      </x:c>
      <x:c r="C128" s="23" t="str">
        <x:v>6月4日</x:v>
      </x:c>
      <x:c r="D128" s="24" t="n">
        <x:v>6067.827</x:v>
      </x:c>
      <x:c r="E128" s="24" t="n">
        <x:v>6124.703</x:v>
      </x:c>
      <x:c r="F128" s="24" t="n">
        <x:v>6067.827</x:v>
      </x:c>
      <x:c r="G128" s="24" t="n">
        <x:v>6123.172</x:v>
      </x:c>
      <x:c r="H128" s="24" t="n">
        <x:v>53.1</x:v>
      </x:c>
      <x:c r="I128" s="25" t="n">
        <x:v>0.008753653396181837</x:v>
      </x:c>
      <x:c r="J128" s="24" t="n">
        <x:f>ROUND(E128-F128,1)</x:f>
        <x:v>56.9</x:v>
      </x:c>
      <x:c r="K128" s="23" t="str">
        <x:v>中证1000</x:v>
      </x:c>
    </x:row>
    <x:row r="129">
      <x:c r="A129" s="23" t="n">
        <x:v>3</x:v>
      </x:c>
      <x:c r="B129" s="23" t="str">
        <x:v>周四</x:v>
      </x:c>
      <x:c r="C129" s="23" t="str">
        <x:v>6月5日</x:v>
      </x:c>
      <x:c r="D129" s="24" t="n">
        <x:v>6125.89</x:v>
      </x:c>
      <x:c r="E129" s="24" t="n">
        <x:v>6174.85</x:v>
      </x:c>
      <x:c r="F129" s="24" t="n">
        <x:v>6101.846</x:v>
      </x:c>
      <x:c r="G129" s="24" t="n">
        <x:v>6167.015</x:v>
      </x:c>
      <x:c r="H129" s="24" t="n">
        <x:v>43.8</x:v>
      </x:c>
      <x:c r="I129" s="25" t="n">
        <x:v>0.0071601777640739606</x:v>
      </x:c>
      <x:c r="J129" s="24" t="n">
        <x:f>ROUND(E129-F129,1)</x:f>
        <x:v>73</x:v>
      </x:c>
      <x:c r="K129" s="23" t="str">
        <x:v>中证1000</x:v>
      </x:c>
    </x:row>
    <x:row r="130">
      <x:c r="A130" s="23" t="n">
        <x:v>4</x:v>
      </x:c>
      <x:c r="B130" s="23" t="str">
        <x:v>周五</x:v>
      </x:c>
      <x:c r="C130" s="23" t="str">
        <x:v>6月6日</x:v>
      </x:c>
      <x:c r="D130" s="24" t="n">
        <x:v>6164.41</x:v>
      </x:c>
      <x:c r="E130" s="24" t="n">
        <x:v>6169.568</x:v>
      </x:c>
      <x:c r="F130" s="24" t="n">
        <x:v>6137.565</x:v>
      </x:c>
      <x:c r="G130" s="24" t="n">
        <x:v>6152.845</x:v>
      </x:c>
      <x:c r="H130" s="24" t="n">
        <x:v>-14.2</x:v>
      </x:c>
      <x:c r="I130" s="25" t="n">
        <x:v>-0.0022977080483832513</x:v>
      </x:c>
      <x:c r="J130" s="24" t="n">
        <x:f>ROUND(E130-F130,1)</x:f>
        <x:v>32</x:v>
      </x:c>
      <x:c r="K130" s="23" t="str">
        <x:v>中证1000</x:v>
      </x:c>
    </x:row>
    <x:row r="131">
      <x:c r="A131" s="23" t="n">
        <x:v>5</x:v>
      </x:c>
      <x:c r="B131" s="23" t="str">
        <x:v>周一</x:v>
      </x:c>
      <x:c r="C131" s="23" t="str">
        <x:v>6月9日</x:v>
      </x:c>
      <x:c r="D131" s="24" t="n">
        <x:v>6161.138</x:v>
      </x:c>
      <x:c r="E131" s="24" t="n">
        <x:v>6226.383</x:v>
      </x:c>
      <x:c r="F131" s="24" t="n">
        <x:v>6158.903</x:v>
      </x:c>
      <x:c r="G131" s="24" t="n">
        <x:v>6218.964</x:v>
      </x:c>
      <x:c r="H131" s="24" t="n">
        <x:v>66.1</x:v>
      </x:c>
      <x:c r="I131" s="25" t="n">
        <x:v>0.010746085753825962</x:v>
      </x:c>
      <x:c r="J131" s="24" t="n">
        <x:f>ROUND(E131-F131,1)</x:f>
        <x:v>67.5</x:v>
      </x:c>
      <x:c r="K131" s="23" t="str">
        <x:v>中证1000</x:v>
      </x:c>
    </x:row>
    <x:row r="132">
      <x:c r="A132" s="23" t="n">
        <x:v>6</x:v>
      </x:c>
      <x:c r="B132" s="23" t="str">
        <x:v>周二</x:v>
      </x:c>
      <x:c r="C132" s="23" t="str">
        <x:v>6月10日</x:v>
      </x:c>
      <x:c r="D132" s="24" t="n">
        <x:v>6220.042</x:v>
      </x:c>
      <x:c r="E132" s="24" t="n">
        <x:v>6220.042</x:v>
      </x:c>
      <x:c r="F132" s="24" t="n">
        <x:v>6098.089</x:v>
      </x:c>
      <x:c r="G132" s="24" t="n">
        <x:v>6161.692</x:v>
      </x:c>
      <x:c r="H132" s="24" t="n">
        <x:v>-57.3</x:v>
      </x:c>
      <x:c r="I132" s="25" t="n">
        <x:v>-0.009209250929897661</x:v>
      </x:c>
      <x:c r="J132" s="24" t="n">
        <x:f>ROUND(E132-F132,1)</x:f>
        <x:v>122</x:v>
      </x:c>
      <x:c r="K132" s="23" t="str">
        <x:v>中证1000</x:v>
      </x:c>
    </x:row>
    <x:row r="133">
      <x:c r="A133" s="23" t="n">
        <x:v>7</x:v>
      </x:c>
      <x:c r="B133" s="23" t="str">
        <x:v>周三</x:v>
      </x:c>
      <x:c r="C133" s="23" t="str">
        <x:v>6月11日</x:v>
      </x:c>
      <x:c r="D133" s="24" t="n">
        <x:v>6162.157</x:v>
      </x:c>
      <x:c r="E133" s="24" t="n">
        <x:v>6221.202</x:v>
      </x:c>
      <x:c r="F133" s="24" t="n">
        <x:v>6162.157</x:v>
      </x:c>
      <x:c r="G133" s="24" t="n">
        <x:v>6186.512</x:v>
      </x:c>
      <x:c r="H133" s="24" t="n">
        <x:v>24.8</x:v>
      </x:c>
      <x:c r="I133" s="25" t="n">
        <x:v>0.004028114355602241</x:v>
      </x:c>
      <x:c r="J133" s="24" t="n">
        <x:f>ROUND(E133-F133,1)</x:f>
        <x:v>59</x:v>
      </x:c>
      <x:c r="K133" s="23" t="str">
        <x:v>中证1000</x:v>
      </x:c>
    </x:row>
    <x:row r="134">
      <x:c r="A134" s="23" t="n">
        <x:v>8</x:v>
      </x:c>
      <x:c r="B134" s="23" t="str">
        <x:v>周四</x:v>
      </x:c>
      <x:c r="C134" s="23" t="str">
        <x:v>6月12日</x:v>
      </x:c>
      <x:c r="D134" s="24" t="n">
        <x:v>6171.557</x:v>
      </x:c>
      <x:c r="E134" s="24" t="n">
        <x:v>6202.727</x:v>
      </x:c>
      <x:c r="F134" s="24" t="n">
        <x:v>6151.036</x:v>
      </x:c>
      <x:c r="G134" s="24" t="n">
        <x:v>6192.22</x:v>
      </x:c>
      <x:c r="H134" s="24" t="n">
        <x:v>5.7</x:v>
      </x:c>
      <x:c r="I134" s="25" t="n">
        <x:v>0.0009226523766543426</x:v>
      </x:c>
      <x:c r="J134" s="24" t="n">
        <x:f>ROUND(E134-F134,1)</x:f>
        <x:v>51.7</x:v>
      </x:c>
      <x:c r="K134" s="23" t="str">
        <x:v>中证1000</x:v>
      </x:c>
    </x:row>
    <x:row r="135">
      <x:c r="A135" s="23" t="n">
        <x:v>9</x:v>
      </x:c>
      <x:c r="B135" s="23" t="str">
        <x:v>周五</x:v>
      </x:c>
      <x:c r="C135" s="23" t="str">
        <x:v>6月13日</x:v>
      </x:c>
      <x:c r="D135" s="24" t="n">
        <x:v>6174.432</x:v>
      </x:c>
      <x:c r="E135" s="24" t="n">
        <x:v>6183.714</x:v>
      </x:c>
      <x:c r="F135" s="24" t="n">
        <x:v>6088.571</x:v>
      </x:c>
      <x:c r="G135" s="24" t="n">
        <x:v>6106.008</x:v>
      </x:c>
      <x:c r="H135" s="24" t="n">
        <x:v>-86.2</x:v>
      </x:c>
      <x:c r="I135" s="25" t="n">
        <x:v>-0.013922631947831388</x:v>
      </x:c>
      <x:c r="J135" s="24" t="n">
        <x:f>ROUND(E135-F135,1)</x:f>
        <x:v>95.1</x:v>
      </x:c>
      <x:c r="K135" s="23" t="str">
        <x:v>中证1000</x:v>
      </x:c>
    </x:row>
    <x:row r="136">
      <x:c r="A136" s="23" t="n">
        <x:v>10</x:v>
      </x:c>
      <x:c r="B136" s="23" t="str">
        <x:v>周一</x:v>
      </x:c>
      <x:c r="C136" s="23" t="str">
        <x:v>6月16日</x:v>
      </x:c>
      <x:c r="D136" s="24" t="n">
        <x:v>6089.963</x:v>
      </x:c>
      <x:c r="E136" s="24" t="n">
        <x:v>6151.513</x:v>
      </x:c>
      <x:c r="F136" s="24" t="n">
        <x:v>6089.963</x:v>
      </x:c>
      <x:c r="G136" s="24" t="n">
        <x:v>6147.46</x:v>
      </x:c>
      <x:c r="H136" s="24" t="n">
        <x:v>41.5</x:v>
      </x:c>
      <x:c r="I136" s="25" t="n">
        <x:v>0.006788723499870919</x:v>
      </x:c>
      <x:c r="J136" s="24" t="n">
        <x:f>ROUND(E136-F136,1)</x:f>
        <x:v>61.6</x:v>
      </x:c>
      <x:c r="K136" s="23" t="str">
        <x:v>中证1000</x:v>
      </x:c>
    </x:row>
    <x:row r="137">
      <x:c r="A137" s="23" t="n">
        <x:v>11</x:v>
      </x:c>
      <x:c r="B137" s="23" t="str">
        <x:v>周二</x:v>
      </x:c>
      <x:c r="C137" s="23" t="str">
        <x:v>6月17日</x:v>
      </x:c>
      <x:c r="D137" s="24" t="n">
        <x:v>6153.147</x:v>
      </x:c>
      <x:c r="E137" s="24" t="n">
        <x:v>6171.165</x:v>
      </x:c>
      <x:c r="F137" s="24" t="n">
        <x:v>6120.57</x:v>
      </x:c>
      <x:c r="G137" s="24" t="n">
        <x:v>6141.468</x:v>
      </x:c>
      <x:c r="H137" s="24" t="n">
        <x:v>-6</x:v>
      </x:c>
      <x:c r="I137" s="25" t="n">
        <x:v>-0.0009747115068662326</x:v>
      </x:c>
      <x:c r="J137" s="24" t="n">
        <x:f>ROUND(E137-F137,1)</x:f>
        <x:v>50.6</x:v>
      </x:c>
      <x:c r="K137" s="23" t="str">
        <x:v>中证1000</x:v>
      </x:c>
    </x:row>
    <x:row r="138">
      <x:c r="A138" s="23" t="n">
        <x:v>12</x:v>
      </x:c>
      <x:c r="B138" s="23" t="str">
        <x:v>周三</x:v>
      </x:c>
      <x:c r="C138" s="23" t="str">
        <x:v>6月18日</x:v>
      </x:c>
      <x:c r="D138" s="24" t="n">
        <x:v>6126.18</x:v>
      </x:c>
      <x:c r="E138" s="24" t="n">
        <x:v>6143.209</x:v>
      </x:c>
      <x:c r="F138" s="24" t="n">
        <x:v>6086.694</x:v>
      </x:c>
      <x:c r="G138" s="24" t="n">
        <x:v>6135.386</x:v>
      </x:c>
      <x:c r="H138" s="24" t="n">
        <x:v>-6.1</x:v>
      </x:c>
      <x:c r="I138" s="25" t="n">
        <x:v>-0.0009903169730753891</x:v>
      </x:c>
      <x:c r="J138" s="24" t="n">
        <x:f>ROUND(E138-F138,1)</x:f>
        <x:v>56.5</x:v>
      </x:c>
      <x:c r="K138" s="23" t="str">
        <x:v>中证1000</x:v>
      </x:c>
    </x:row>
    <x:row r="139">
      <x:c r="A139" s="23" t="n">
        <x:v>13</x:v>
      </x:c>
      <x:c r="B139" s="23" t="str">
        <x:v>周四</x:v>
      </x:c>
      <x:c r="C139" s="23" t="str">
        <x:v>6月19日</x:v>
      </x:c>
      <x:c r="D139" s="24" t="n">
        <x:v>6127.938</x:v>
      </x:c>
      <x:c r="E139" s="24" t="n">
        <x:v>6146.642</x:v>
      </x:c>
      <x:c r="F139" s="24" t="n">
        <x:v>6028.717</x:v>
      </x:c>
      <x:c r="G139" s="24" t="n">
        <x:v>6048.224</x:v>
      </x:c>
      <x:c r="H139" s="24" t="n">
        <x:v>-87.2</x:v>
      </x:c>
      <x:c r="I139" s="25" t="n">
        <x:v>-0.01420644112693159</x:v>
      </x:c>
      <x:c r="J139" s="24" t="n">
        <x:f>ROUND(E139-F139,1)</x:f>
        <x:v>117.9</x:v>
      </x:c>
      <x:c r="K139" s="23" t="str">
        <x:v>中证1000</x:v>
      </x:c>
    </x:row>
    <x:row r="140">
      <x:c r="A140" s="33" t="n">
        <x:v>14</x:v>
      </x:c>
      <x:c r="B140" s="33" t="str">
        <x:v>周五</x:v>
      </x:c>
      <x:c r="C140" s="33" t="str">
        <x:v>6月20日</x:v>
      </x:c>
      <x:c r="D140" s="34" t="n">
        <x:v>6039.991</x:v>
      </x:c>
      <x:c r="E140" s="34" t="n">
        <x:v>6061.841</x:v>
      </x:c>
      <x:c r="F140" s="34" t="n">
        <x:v>5997.59</x:v>
      </x:c>
      <x:c r="G140" s="34" t="n">
        <x:v>5999.591</x:v>
      </x:c>
      <x:c r="H140" s="34" t="n">
        <x:v>-48.6</x:v>
      </x:c>
      <x:c r="I140" s="35" t="n">
        <x:v>-0.008040872824816025</x:v>
      </x:c>
      <x:c r="J140" s="34" t="n">
        <x:f>ROUND(E140-F140,1)</x:f>
        <x:v>64.3</x:v>
      </x:c>
      <x:c r="K140" s="33" t="str">
        <x:v>中证1000</x:v>
      </x:c>
    </x:row>
    <x:row r="141">
      <x:c r="A141" s="23" t="n">
        <x:v>15</x:v>
      </x:c>
      <x:c r="B141" s="23" t="str">
        <x:v>周一</x:v>
      </x:c>
      <x:c r="C141" s="23" t="str">
        <x:v>6月23日</x:v>
      </x:c>
      <x:c r="D141" s="24" t="n">
        <x:v>5966.495</x:v>
      </x:c>
      <x:c r="E141" s="24" t="n">
        <x:v>6083.527</x:v>
      </x:c>
      <x:c r="F141" s="24" t="n">
        <x:v>5965.663</x:v>
      </x:c>
      <x:c r="G141" s="24" t="n">
        <x:v>6078.222</x:v>
      </x:c>
      <x:c r="H141" s="24" t="n">
        <x:v>78.6</x:v>
      </x:c>
      <x:c r="I141" s="25" t="n">
        <x:v>0.013106060063094116</x:v>
      </x:c>
      <x:c r="J141" s="24" t="n">
        <x:f>ROUND(E141-F141,1)</x:f>
        <x:v>117.9</x:v>
      </x:c>
      <x:c r="K141" s="23" t="str">
        <x:v>中证1000</x:v>
      </x:c>
    </x:row>
    <x:row r="142">
      <x:c r="A142" s="23" t="n">
        <x:v>16</x:v>
      </x:c>
      <x:c r="B142" s="23" t="str">
        <x:v>周二</x:v>
      </x:c>
      <x:c r="C142" s="23" t="str">
        <x:v>6月24日</x:v>
      </x:c>
      <x:c r="D142" s="24" t="n">
        <x:v>6082.744</x:v>
      </x:c>
      <x:c r="E142" s="24" t="n">
        <x:v>6194.666</x:v>
      </x:c>
      <x:c r="F142" s="24" t="n">
        <x:v>6082.744</x:v>
      </x:c>
      <x:c r="G142" s="24" t="n">
        <x:v>6194.666</x:v>
      </x:c>
      <x:c r="H142" s="24" t="n">
        <x:v>116.4</x:v>
      </x:c>
      <x:c r="I142" s="25" t="n">
        <x:v>0.019157576014828148</x:v>
      </x:c>
      <x:c r="J142" s="24" t="n">
        <x:f>ROUND(E142-F142,1)</x:f>
        <x:v>111.9</x:v>
      </x:c>
      <x:c r="K142" s="23" t="str">
        <x:v>中证1000</x:v>
      </x:c>
    </x:row>
    <x:row r="143">
      <x:c r="A143" s="23" t="n">
        <x:v>17</x:v>
      </x:c>
      <x:c r="B143" s="23" t="str">
        <x:v>周三</x:v>
      </x:c>
      <x:c r="C143" s="23" t="str">
        <x:v>6月25日</x:v>
      </x:c>
      <x:c r="D143" s="24" t="n">
        <x:v>6196.153</x:v>
      </x:c>
      <x:c r="E143" s="24" t="n">
        <x:v>6282.112</x:v>
      </x:c>
      <x:c r="F143" s="24" t="n">
        <x:v>6194.148</x:v>
      </x:c>
      <x:c r="G143" s="24" t="n">
        <x:v>6276.163</x:v>
      </x:c>
      <x:c r="H143" s="24" t="n">
        <x:v>81.5</x:v>
      </x:c>
      <x:c r="I143" s="25" t="n">
        <x:v>0.01315599581962923</x:v>
      </x:c>
      <x:c r="J143" s="24" t="n">
        <x:f>ROUND(E143-F143,1)</x:f>
        <x:v>88</x:v>
      </x:c>
      <x:c r="K143" s="23" t="str">
        <x:v>中证1000</x:v>
      </x:c>
    </x:row>
    <x:row r="144">
      <x:c r="A144" s="23" t="n">
        <x:v>18</x:v>
      </x:c>
      <x:c r="B144" s="23" t="str">
        <x:v>周四</x:v>
      </x:c>
      <x:c r="C144" s="23" t="str">
        <x:v>6月26日</x:v>
      </x:c>
      <x:c r="D144" s="24" t="n">
        <x:v>6272.443</x:v>
      </x:c>
      <x:c r="E144" s="24" t="n">
        <x:v>6310.536</x:v>
      </x:c>
      <x:c r="F144" s="24" t="n">
        <x:v>6244.781</x:v>
      </x:c>
      <x:c r="G144" s="24" t="n">
        <x:v>6247.791</x:v>
      </x:c>
      <x:c r="H144" s="24" t="n">
        <x:v>-28.4</x:v>
      </x:c>
      <x:c r="I144" s="25" t="n">
        <x:v>-0.00452059642173086</x:v>
      </x:c>
      <x:c r="J144" s="24" t="n">
        <x:f>ROUND(E144-F144,1)</x:f>
        <x:v>65.8</x:v>
      </x:c>
      <x:c r="K144" s="23" t="str">
        <x:v>中证1000</x:v>
      </x:c>
    </x:row>
    <x:row r="145">
      <x:c r="A145" s="23" t="n">
        <x:v>19</x:v>
      </x:c>
      <x:c r="B145" s="23" t="str">
        <x:v>周五</x:v>
      </x:c>
      <x:c r="C145" s="23" t="str">
        <x:v>6月27日</x:v>
      </x:c>
      <x:c r="D145" s="24" t="n">
        <x:v>6265.923</x:v>
      </x:c>
      <x:c r="E145" s="24" t="n">
        <x:v>6319.161</x:v>
      </x:c>
      <x:c r="F145" s="24" t="n">
        <x:v>6257.587</x:v>
      </x:c>
      <x:c r="G145" s="24" t="n">
        <x:v>6276.937</x:v>
      </x:c>
      <x:c r="H145" s="24" t="n">
        <x:v>29.1</x:v>
      </x:c>
      <x:c r="I145" s="25" t="n">
        <x:v>0.004665008800710524</x:v>
      </x:c>
      <x:c r="J145" s="24" t="n">
        <x:f>ROUND(E145-F145,1)</x:f>
        <x:v>61.6</x:v>
      </x:c>
      <x:c r="K145" s="23" t="str">
        <x:v>中证1000</x:v>
      </x:c>
    </x:row>
    <x:row r="146">
      <x:c r="A146" s="23" t="n">
        <x:v>20</x:v>
      </x:c>
      <x:c r="B146" s="23" t="str">
        <x:v>周一</x:v>
      </x:c>
      <x:c r="C146" s="23" t="str">
        <x:v>6月30日</x:v>
      </x:c>
      <x:c r="D146" s="24" t="n">
        <x:v>6297.077</x:v>
      </x:c>
      <x:c r="E146" s="24" t="n">
        <x:v>6358.026</x:v>
      </x:c>
      <x:c r="F146" s="24" t="n">
        <x:v>6292.514</x:v>
      </x:c>
      <x:c r="G146" s="24" t="n">
        <x:v>6356.181</x:v>
      </x:c>
      <x:c r="H146" s="24" t="n">
        <x:v>79.2</x:v>
      </x:c>
      <x:c r="I146" s="25" t="n">
        <x:v>0.012624628859585485</x:v>
      </x:c>
      <x:c r="J146" s="24" t="n">
        <x:f>ROUND(E146-F146,1)</x:f>
        <x:v>65.5</x:v>
      </x:c>
      <x:c r="K146" s="23" t="str">
        <x:v>中证1000</x:v>
      </x:c>
    </x:row>
    <x:row r="147">
      <x:c r="A147" s="38" t="str">
        <x:v>合计</x:v>
      </x:c>
      <x:c r="B147" s="37" t="n">
        <x:v>20</x:v>
      </x:c>
      <x:c r="C147" s="37"/>
      <x:c r="D147" s="37"/>
      <x:c r="E147" s="37"/>
      <x:c r="F147" s="37"/>
      <x:c r="G147" s="37"/>
      <x:c r="H147" s="37"/>
      <x:c r="I147" s="37"/>
      <x:c r="J147" s="39" t="n">
        <x:f>ROUND(SUM(J127:J146),1)</x:f>
        <x:v>1496.9</x:v>
      </x:c>
      <x:c r="K147" s="37"/>
    </x:row>
    <x:row r="148">
      <x:c r="A148" s="38" t="str">
        <x:v>均值</x:v>
      </x:c>
      <x:c r="B148" s="37"/>
      <x:c r="C148" s="37"/>
      <x:c r="D148" s="37"/>
      <x:c r="E148" s="37"/>
      <x:c r="F148" s="37"/>
      <x:c r="G148" s="37"/>
      <x:c r="H148" s="37"/>
      <x:c r="I148" s="37"/>
      <x:c r="J148" s="41" t="n">
        <x:f>ROUND(IFERROR(AVERAGE(J127:J146),0),1)</x:f>
        <x:v>74.8</x:v>
      </x:c>
      <x:c r="K148" s="37"/>
    </x:row>
    <x:row r="150">
      <x:c r="A150" s="17" t="str">
        <x:v>7月</x:v>
      </x:c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</x:row>
    <x:row r="151">
      <x:c r="A151" s="20" t="str">
        <x:v>序号</x:v>
      </x:c>
      <x:c r="B151" s="20" t="str">
        <x:v>星期</x:v>
      </x:c>
      <x:c r="C151" s="20" t="str">
        <x:v>日期</x:v>
      </x:c>
      <x:c r="D151" s="20" t="str">
        <x:v>开盘</x:v>
      </x:c>
      <x:c r="E151" s="20" t="str">
        <x:v>高点</x:v>
      </x:c>
      <x:c r="F151" s="20" t="str">
        <x:v>低点</x:v>
      </x:c>
      <x:c r="G151" s="20" t="str">
        <x:v>收盘</x:v>
      </x:c>
      <x:c r="H151" s="20" t="str">
        <x:v>涨跌点数</x:v>
      </x:c>
      <x:c r="I151" s="20" t="str">
        <x:v>涨幅</x:v>
      </x:c>
      <x:c r="J151" s="20" t="str">
        <x:v>振幅</x:v>
      </x:c>
      <x:c r="K151" s="20" t="str">
        <x:v>标的</x:v>
      </x:c>
    </x:row>
    <x:row r="152">
      <x:c r="A152" s="23" t="n">
        <x:v>1</x:v>
      </x:c>
      <x:c r="B152" s="23" t="str">
        <x:v>周二</x:v>
      </x:c>
      <x:c r="C152" s="23" t="str">
        <x:v>7月1日</x:v>
      </x:c>
      <x:c r="D152" s="24" t="n">
        <x:v>6358.06</x:v>
      </x:c>
      <x:c r="E152" s="24" t="n">
        <x:v>6373.768</x:v>
      </x:c>
      <x:c r="F152" s="24" t="n">
        <x:v>6308.061</x:v>
      </x:c>
      <x:c r="G152" s="24" t="n">
        <x:v>6373.768</x:v>
      </x:c>
      <x:c r="H152" s="24" t="n">
        <x:v>17.6</x:v>
      </x:c>
      <x:c r="I152" s="25" t="n">
        <x:v>0.0027669130252898633</x:v>
      </x:c>
      <x:c r="J152" s="24" t="n">
        <x:f>ROUND(E152-F152,1)</x:f>
        <x:v>65.7</x:v>
      </x:c>
      <x:c r="K152" s="23" t="str">
        <x:v>中证1000</x:v>
      </x:c>
    </x:row>
    <x:row r="153">
      <x:c r="A153" s="23" t="n">
        <x:v>2</x:v>
      </x:c>
      <x:c r="B153" s="23" t="str">
        <x:v>周三</x:v>
      </x:c>
      <x:c r="C153" s="23" t="str">
        <x:v>7月2日</x:v>
      </x:c>
      <x:c r="D153" s="24" t="n">
        <x:v>6358.873</x:v>
      </x:c>
      <x:c r="E153" s="24" t="n">
        <x:v>6358.873</x:v>
      </x:c>
      <x:c r="F153" s="24" t="n">
        <x:v>6285</x:v>
      </x:c>
      <x:c r="G153" s="24" t="n">
        <x:v>6309.484</x:v>
      </x:c>
      <x:c r="H153" s="24" t="n">
        <x:v>-64.3</x:v>
      </x:c>
      <x:c r="I153" s="25" t="n">
        <x:v>-0.010085713819517728</x:v>
      </x:c>
      <x:c r="J153" s="24" t="n">
        <x:f>ROUND(E153-F153,1)</x:f>
        <x:v>73.9</x:v>
      </x:c>
      <x:c r="K153" s="23" t="str">
        <x:v>中证1000</x:v>
      </x:c>
    </x:row>
    <x:row r="154">
      <x:c r="A154" s="23" t="n">
        <x:v>3</x:v>
      </x:c>
      <x:c r="B154" s="23" t="str">
        <x:v>周四</x:v>
      </x:c>
      <x:c r="C154" s="23" t="str">
        <x:v>7月3日</x:v>
      </x:c>
      <x:c r="D154" s="24" t="n">
        <x:v>6306.745</x:v>
      </x:c>
      <x:c r="E154" s="24" t="n">
        <x:v>6349.145</x:v>
      </x:c>
      <x:c r="F154" s="24" t="n">
        <x:v>6295.225</x:v>
      </x:c>
      <x:c r="G154" s="24" t="n">
        <x:v>6342.638</x:v>
      </x:c>
      <x:c r="H154" s="24" t="n">
        <x:v>33.2</x:v>
      </x:c>
      <x:c r="I154" s="25" t="n">
        <x:v>0.005254629380152087</x:v>
      </x:c>
      <x:c r="J154" s="24" t="n">
        <x:f>ROUND(E154-F154,1)</x:f>
        <x:v>53.9</x:v>
      </x:c>
      <x:c r="K154" s="23" t="str">
        <x:v>中证1000</x:v>
      </x:c>
    </x:row>
    <x:row r="155">
      <x:c r="A155" s="23" t="n">
        <x:v>4</x:v>
      </x:c>
      <x:c r="B155" s="23" t="str">
        <x:v>周五</x:v>
      </x:c>
      <x:c r="C155" s="23" t="str">
        <x:v>7月4日</x:v>
      </x:c>
      <x:c r="D155" s="24" t="n">
        <x:v>6338.557</x:v>
      </x:c>
      <x:c r="E155" s="24" t="n">
        <x:v>6375.067</x:v>
      </x:c>
      <x:c r="F155" s="24" t="n">
        <x:v>6292.136</x:v>
      </x:c>
      <x:c r="G155" s="24" t="n">
        <x:v>6312.197</x:v>
      </x:c>
      <x:c r="H155" s="24" t="n">
        <x:v>-30.4</x:v>
      </x:c>
      <x:c r="I155" s="25" t="n">
        <x:v>-0.004799422574644829</x:v>
      </x:c>
      <x:c r="J155" s="24" t="n">
        <x:f>ROUND(E155-F155,1)</x:f>
        <x:v>82.9</x:v>
      </x:c>
      <x:c r="K155" s="23" t="str">
        <x:v>中证1000</x:v>
      </x:c>
    </x:row>
    <x:row r="156">
      <x:c r="A156" s="23" t="n">
        <x:v>5</x:v>
      </x:c>
      <x:c r="B156" s="23" t="str">
        <x:v>周一</x:v>
      </x:c>
      <x:c r="C156" s="23" t="str">
        <x:v>7月7日</x:v>
      </x:c>
      <x:c r="D156" s="24" t="n">
        <x:v>6305.045</x:v>
      </x:c>
      <x:c r="E156" s="24" t="n">
        <x:v>6333.512</x:v>
      </x:c>
      <x:c r="F156" s="24" t="n">
        <x:v>6303.862</x:v>
      </x:c>
      <x:c r="G156" s="24" t="n">
        <x:v>6327.139</x:v>
      </x:c>
      <x:c r="H156" s="24" t="n">
        <x:v>14.9</x:v>
      </x:c>
      <x:c r="I156" s="25" t="n">
        <x:v>0.0023671631287807138</x:v>
      </x:c>
      <x:c r="J156" s="24" t="n">
        <x:f>ROUND(E156-F156,1)</x:f>
        <x:v>29.6</x:v>
      </x:c>
      <x:c r="K156" s="23" t="str">
        <x:v>中证1000</x:v>
      </x:c>
    </x:row>
    <x:row r="157">
      <x:c r="A157" s="23" t="n">
        <x:v>6</x:v>
      </x:c>
      <x:c r="B157" s="23" t="str">
        <x:v>周二</x:v>
      </x:c>
      <x:c r="C157" s="23" t="str">
        <x:v>7月8日</x:v>
      </x:c>
      <x:c r="D157" s="24" t="n">
        <x:v>6321.553</x:v>
      </x:c>
      <x:c r="E157" s="24" t="n">
        <x:v>6408.114</x:v>
      </x:c>
      <x:c r="F157" s="24" t="n">
        <x:v>6318.523</x:v>
      </x:c>
      <x:c r="G157" s="24" t="n">
        <x:v>6407.698</x:v>
      </x:c>
      <x:c r="H157" s="24" t="n">
        <x:v>80.6</x:v>
      </x:c>
      <x:c r="I157" s="25" t="n">
        <x:v>0.012732294959854729</x:v>
      </x:c>
      <x:c r="J157" s="24" t="n">
        <x:f>ROUND(E157-F157,1)</x:f>
        <x:v>89.6</x:v>
      </x:c>
      <x:c r="K157" s="23" t="str">
        <x:v>中证1000</x:v>
      </x:c>
    </x:row>
    <x:row r="158">
      <x:c r="A158" s="23" t="n">
        <x:v>7</x:v>
      </x:c>
      <x:c r="B158" s="23" t="str">
        <x:v>周三</x:v>
      </x:c>
      <x:c r="C158" s="23" t="str">
        <x:v>7月9日</x:v>
      </x:c>
      <x:c r="D158" s="24" t="n">
        <x:v>6412.144</x:v>
      </x:c>
      <x:c r="E158" s="24" t="n">
        <x:v>6431.091</x:v>
      </x:c>
      <x:c r="F158" s="24" t="n">
        <x:v>6375.082</x:v>
      </x:c>
      <x:c r="G158" s="24" t="n">
        <x:v>6390.466</x:v>
      </x:c>
      <x:c r="H158" s="24" t="n">
        <x:v>-17.2</x:v>
      </x:c>
      <x:c r="I158" s="25" t="n">
        <x:v>-0.002689265318059575</x:v>
      </x:c>
      <x:c r="J158" s="24" t="n">
        <x:f>ROUND(E158-F158,1)</x:f>
        <x:v>56</x:v>
      </x:c>
      <x:c r="K158" s="23" t="str">
        <x:v>中证1000</x:v>
      </x:c>
    </x:row>
    <x:row r="159">
      <x:c r="A159" s="23" t="n">
        <x:v>8</x:v>
      </x:c>
      <x:c r="B159" s="23" t="str">
        <x:v>周四</x:v>
      </x:c>
      <x:c r="C159" s="23" t="str">
        <x:v>7月10日</x:v>
      </x:c>
      <x:c r="D159" s="24" t="n">
        <x:v>6385.213</x:v>
      </x:c>
      <x:c r="E159" s="24" t="n">
        <x:v>6427.739</x:v>
      </x:c>
      <x:c r="F159" s="24" t="n">
        <x:v>6367.66</x:v>
      </x:c>
      <x:c r="G159" s="24" t="n">
        <x:v>6406.568</x:v>
      </x:c>
      <x:c r="H159" s="24" t="n">
        <x:v>16.1</x:v>
      </x:c>
      <x:c r="I159" s="25" t="n">
        <x:v>0.002519691052264461</x:v>
      </x:c>
      <x:c r="J159" s="24" t="n">
        <x:f>ROUND(E159-F159,1)</x:f>
        <x:v>60.1</x:v>
      </x:c>
      <x:c r="K159" s="23" t="str">
        <x:v>中证1000</x:v>
      </x:c>
    </x:row>
    <x:row r="160">
      <x:c r="A160" s="23" t="n">
        <x:v>9</x:v>
      </x:c>
      <x:c r="B160" s="23" t="str">
        <x:v>周五</x:v>
      </x:c>
      <x:c r="C160" s="23" t="str">
        <x:v>7月11日</x:v>
      </x:c>
      <x:c r="D160" s="24" t="n">
        <x:v>6411.314</x:v>
      </x:c>
      <x:c r="E160" s="24" t="n">
        <x:v>6487.44</x:v>
      </x:c>
      <x:c r="F160" s="24" t="n">
        <x:v>6388.402</x:v>
      </x:c>
      <x:c r="G160" s="24" t="n">
        <x:v>6461.1</x:v>
      </x:c>
      <x:c r="H160" s="24" t="n">
        <x:v>54.5</x:v>
      </x:c>
      <x:c r="I160" s="25" t="n">
        <x:v>0.008511889673222806</x:v>
      </x:c>
      <x:c r="J160" s="24" t="n">
        <x:f>ROUND(E160-F160,1)</x:f>
        <x:v>99</x:v>
      </x:c>
      <x:c r="K160" s="23" t="str">
        <x:v>中证1000</x:v>
      </x:c>
    </x:row>
    <x:row r="161">
      <x:c r="A161" s="23" t="n">
        <x:v>10</x:v>
      </x:c>
      <x:c r="B161" s="23" t="str">
        <x:v>周一</x:v>
      </x:c>
      <x:c r="C161" s="23" t="str">
        <x:v>7月14日</x:v>
      </x:c>
      <x:c r="D161" s="24" t="n">
        <x:v>6465.506</x:v>
      </x:c>
      <x:c r="E161" s="24" t="n">
        <x:v>6474.934</x:v>
      </x:c>
      <x:c r="F161" s="24" t="n">
        <x:v>6443.555</x:v>
      </x:c>
      <x:c r="G161" s="24" t="n">
        <x:v>6462.305</x:v>
      </x:c>
      <x:c r="H161" s="24" t="n">
        <x:v>1.2</x:v>
      </x:c>
      <x:c r="I161" s="25" t="n">
        <x:v>0.00018650075064607918</x:v>
      </x:c>
      <x:c r="J161" s="24" t="n">
        <x:f>ROUND(E161-F161,1)</x:f>
        <x:v>31.4</x:v>
      </x:c>
      <x:c r="K161" s="23" t="str">
        <x:v>中证1000</x:v>
      </x:c>
    </x:row>
    <x:row r="162">
      <x:c r="A162" s="23" t="n">
        <x:v>11</x:v>
      </x:c>
      <x:c r="B162" s="23" t="str">
        <x:v>周二</x:v>
      </x:c>
      <x:c r="C162" s="23" t="str">
        <x:v>7月15日</x:v>
      </x:c>
      <x:c r="D162" s="24" t="n">
        <x:v>6451.997</x:v>
      </x:c>
      <x:c r="E162" s="24" t="n">
        <x:v>6472.527</x:v>
      </x:c>
      <x:c r="F162" s="24" t="n">
        <x:v>6381.557</x:v>
      </x:c>
      <x:c r="G162" s="24" t="n">
        <x:v>6442.834</x:v>
      </x:c>
      <x:c r="H162" s="24" t="n">
        <x:v>-19.5</x:v>
      </x:c>
      <x:c r="I162" s="25" t="n">
        <x:v>-0.0030130116111821703</x:v>
      </x:c>
      <x:c r="J162" s="24" t="n">
        <x:f>ROUND(E162-F162,1)</x:f>
        <x:v>91</x:v>
      </x:c>
      <x:c r="K162" s="23" t="str">
        <x:v>中证1000</x:v>
      </x:c>
    </x:row>
    <x:row r="163">
      <x:c r="A163" s="23" t="n">
        <x:v>12</x:v>
      </x:c>
      <x:c r="B163" s="23" t="str">
        <x:v>周三</x:v>
      </x:c>
      <x:c r="C163" s="23" t="str">
        <x:v>7月16日</x:v>
      </x:c>
      <x:c r="D163" s="24" t="n">
        <x:v>6440.517</x:v>
      </x:c>
      <x:c r="E163" s="24" t="n">
        <x:v>6487.83</x:v>
      </x:c>
      <x:c r="F163" s="24" t="n">
        <x:v>6433.507</x:v>
      </x:c>
      <x:c r="G163" s="24" t="n">
        <x:v>6462.063</x:v>
      </x:c>
      <x:c r="H163" s="24" t="n">
        <x:v>19.2</x:v>
      </x:c>
      <x:c r="I163" s="25" t="n">
        <x:v>0.0029845561751242755</x:v>
      </x:c>
      <x:c r="J163" s="24" t="n">
        <x:f>ROUND(E163-F163,1)</x:f>
        <x:v>54.3</x:v>
      </x:c>
      <x:c r="K163" s="23" t="str">
        <x:v>中证1000</x:v>
      </x:c>
    </x:row>
    <x:row r="164">
      <x:c r="A164" s="23" t="n">
        <x:v>13</x:v>
      </x:c>
      <x:c r="B164" s="23" t="str">
        <x:v>周四</x:v>
      </x:c>
      <x:c r="C164" s="23" t="str">
        <x:v>7月17日</x:v>
      </x:c>
      <x:c r="D164" s="24" t="n">
        <x:v>6458.414</x:v>
      </x:c>
      <x:c r="E164" s="24" t="n">
        <x:v>6535.671</x:v>
      </x:c>
      <x:c r="F164" s="24" t="n">
        <x:v>6451.153</x:v>
      </x:c>
      <x:c r="G164" s="24" t="n">
        <x:v>6535.671</x:v>
      </x:c>
      <x:c r="H164" s="24" t="n">
        <x:v>73.6</x:v>
      </x:c>
      <x:c r="I164" s="25" t="n">
        <x:v>0.011390789597687245</x:v>
      </x:c>
      <x:c r="J164" s="24" t="n">
        <x:f>ROUND(E164-F164,1)</x:f>
        <x:v>84.5</x:v>
      </x:c>
      <x:c r="K164" s="23" t="str">
        <x:v>中证1000</x:v>
      </x:c>
    </x:row>
    <x:row r="165">
      <x:c r="A165" s="33" t="n">
        <x:v>14</x:v>
      </x:c>
      <x:c r="B165" s="33" t="str">
        <x:v>周五</x:v>
      </x:c>
      <x:c r="C165" s="33" t="str">
        <x:v>7月18日</x:v>
      </x:c>
      <x:c r="D165" s="34" t="n">
        <x:v>6546.362</x:v>
      </x:c>
      <x:c r="E165" s="34" t="n">
        <x:v>6563.817</x:v>
      </x:c>
      <x:c r="F165" s="34" t="n">
        <x:v>6521.5</x:v>
      </x:c>
      <x:c r="G165" s="34" t="n">
        <x:v>6552.074</x:v>
      </x:c>
      <x:c r="H165" s="34" t="n">
        <x:v>16.4</x:v>
      </x:c>
      <x:c r="I165" s="35" t="n">
        <x:v>0.0025097652559316064</x:v>
      </x:c>
      <x:c r="J165" s="34" t="n">
        <x:f>ROUND(E165-F165,1)</x:f>
        <x:v>42.3</x:v>
      </x:c>
      <x:c r="K165" s="33" t="str">
        <x:v>中证1000</x:v>
      </x:c>
    </x:row>
    <x:row r="166">
      <x:c r="A166" s="23" t="n">
        <x:v>15</x:v>
      </x:c>
      <x:c r="B166" s="23" t="str">
        <x:v>周一</x:v>
      </x:c>
      <x:c r="C166" s="23" t="str">
        <x:v>7月21日</x:v>
      </x:c>
      <x:c r="D166" s="24" t="n">
        <x:v>6557.251</x:v>
      </x:c>
      <x:c r="E166" s="24" t="n">
        <x:v>6614.606</x:v>
      </x:c>
      <x:c r="F166" s="24" t="n">
        <x:v>6555.043</x:v>
      </x:c>
      <x:c r="G166" s="24" t="n">
        <x:v>6612.259</x:v>
      </x:c>
      <x:c r="H166" s="24" t="n">
        <x:v>60.2</x:v>
      </x:c>
      <x:c r="I166" s="25" t="n">
        <x:v>0.009185641065714512</x:v>
      </x:c>
      <x:c r="J166" s="24" t="n">
        <x:f>ROUND(E166-F166,1)</x:f>
        <x:v>59.6</x:v>
      </x:c>
      <x:c r="K166" s="23" t="str">
        <x:v>中证1000</x:v>
      </x:c>
    </x:row>
    <x:row r="167">
      <x:c r="A167" s="23" t="n">
        <x:v>16</x:v>
      </x:c>
      <x:c r="B167" s="23" t="str">
        <x:v>周二</x:v>
      </x:c>
      <x:c r="C167" s="23" t="str">
        <x:v>7月22日</x:v>
      </x:c>
      <x:c r="D167" s="24" t="n">
        <x:v>6607.826</x:v>
      </x:c>
      <x:c r="E167" s="24" t="n">
        <x:v>6642.235</x:v>
      </x:c>
      <x:c r="F167" s="24" t="n">
        <x:v>6597.048</x:v>
      </x:c>
      <x:c r="G167" s="24" t="n">
        <x:v>6637.104</x:v>
      </x:c>
      <x:c r="H167" s="24" t="n">
        <x:v>24.8</x:v>
      </x:c>
      <x:c r="I167" s="25" t="n">
        <x:v>0.0037574148260073326</x:v>
      </x:c>
      <x:c r="J167" s="24" t="n">
        <x:f>ROUND(E167-F167,1)</x:f>
        <x:v>45.2</x:v>
      </x:c>
      <x:c r="K167" s="23" t="str">
        <x:v>中证1000</x:v>
      </x:c>
    </x:row>
    <x:row r="168">
      <x:c r="A168" s="23" t="n">
        <x:v>17</x:v>
      </x:c>
      <x:c r="B168" s="23" t="str">
        <x:v>周三</x:v>
      </x:c>
      <x:c r="C168" s="23" t="str">
        <x:v>7月23日</x:v>
      </x:c>
      <x:c r="D168" s="24" t="n">
        <x:v>6634.123</x:v>
      </x:c>
      <x:c r="E168" s="24" t="n">
        <x:v>6667.858</x:v>
      </x:c>
      <x:c r="F168" s="24" t="n">
        <x:v>6594.483</x:v>
      </x:c>
      <x:c r="G168" s="24" t="n">
        <x:v>6607.22</x:v>
      </x:c>
      <x:c r="H168" s="24" t="n">
        <x:v>-29.9</x:v>
      </x:c>
      <x:c r="I168" s="25" t="n">
        <x:v>-0.004502566179466205</x:v>
      </x:c>
      <x:c r="J168" s="24" t="n">
        <x:f>ROUND(E168-F168,1)</x:f>
        <x:v>73.4</x:v>
      </x:c>
      <x:c r="K168" s="23" t="str">
        <x:v>中证1000</x:v>
      </x:c>
    </x:row>
    <x:row r="169">
      <x:c r="A169" s="23" t="n">
        <x:v>18</x:v>
      </x:c>
      <x:c r="B169" s="23" t="str">
        <x:v>周四</x:v>
      </x:c>
      <x:c r="C169" s="23" t="str">
        <x:v>7月24日</x:v>
      </x:c>
      <x:c r="D169" s="24" t="n">
        <x:v>6602.169</x:v>
      </x:c>
      <x:c r="E169" s="24" t="n">
        <x:v>6701.12</x:v>
      </x:c>
      <x:c r="F169" s="24" t="n">
        <x:v>6602.169</x:v>
      </x:c>
      <x:c r="G169" s="24" t="n">
        <x:v>6701.12</x:v>
      </x:c>
      <x:c r="H169" s="24" t="n">
        <x:v>93.9</x:v>
      </x:c>
      <x:c r="I169" s="25" t="n">
        <x:v>0.014211725960388666</x:v>
      </x:c>
      <x:c r="J169" s="24" t="n">
        <x:f>ROUND(E169-F169,1)</x:f>
        <x:v>99</x:v>
      </x:c>
      <x:c r="K169" s="23" t="str">
        <x:v>中证1000</x:v>
      </x:c>
    </x:row>
    <x:row r="170">
      <x:c r="A170" s="23" t="n">
        <x:v>19</x:v>
      </x:c>
      <x:c r="B170" s="23" t="str">
        <x:v>周五</x:v>
      </x:c>
      <x:c r="C170" s="23" t="str">
        <x:v>7月25日</x:v>
      </x:c>
      <x:c r="D170" s="24" t="n">
        <x:v>6708.08</x:v>
      </x:c>
      <x:c r="E170" s="24" t="n">
        <x:v>6716.703</x:v>
      </x:c>
      <x:c r="F170" s="24" t="n">
        <x:v>6674.541</x:v>
      </x:c>
      <x:c r="G170" s="24" t="n">
        <x:v>6706.61</x:v>
      </x:c>
      <x:c r="H170" s="24" t="n">
        <x:v>5.5</x:v>
      </x:c>
      <x:c r="I170" s="25" t="n">
        <x:v>0.0008192660331407531</x:v>
      </x:c>
      <x:c r="J170" s="24" t="n">
        <x:f>ROUND(E170-F170,1)</x:f>
        <x:v>42.2</x:v>
      </x:c>
      <x:c r="K170" s="23" t="str">
        <x:v>中证1000</x:v>
      </x:c>
    </x:row>
    <x:row r="171">
      <x:c r="A171" s="23" t="n">
        <x:v>20</x:v>
      </x:c>
      <x:c r="B171" s="23" t="str">
        <x:v>周一</x:v>
      </x:c>
      <x:c r="C171" s="23" t="str">
        <x:v>7月28日</x:v>
      </x:c>
      <x:c r="D171" s="24" t="n">
        <x:v>6713.818</x:v>
      </x:c>
      <x:c r="E171" s="24" t="n">
        <x:v>6736.079</x:v>
      </x:c>
      <x:c r="F171" s="24" t="n">
        <x:v>6679.211</x:v>
      </x:c>
      <x:c r="G171" s="24" t="n">
        <x:v>6729.979</x:v>
      </x:c>
      <x:c r="H171" s="24" t="n">
        <x:v>23.4</x:v>
      </x:c>
      <x:c r="I171" s="25" t="n">
        <x:v>0.003484472781330794</x:v>
      </x:c>
      <x:c r="J171" s="24" t="n">
        <x:f>ROUND(E171-F171,1)</x:f>
        <x:v>56.9</x:v>
      </x:c>
      <x:c r="K171" s="23" t="str">
        <x:v>中证1000</x:v>
      </x:c>
    </x:row>
    <x:row r="172">
      <x:c r="A172" s="23" t="n">
        <x:v>21</x:v>
      </x:c>
      <x:c r="B172" s="23" t="str">
        <x:v>周二</x:v>
      </x:c>
      <x:c r="C172" s="23" t="str">
        <x:v>7月29日</x:v>
      </x:c>
      <x:c r="D172" s="24" t="n">
        <x:v>6724.315</x:v>
      </x:c>
      <x:c r="E172" s="24" t="n">
        <x:v>6773.884</x:v>
      </x:c>
      <x:c r="F172" s="24" t="n">
        <x:v>6684.158</x:v>
      </x:c>
      <x:c r="G172" s="24" t="n">
        <x:v>6773.884</x:v>
      </x:c>
      <x:c r="H172" s="24" t="n">
        <x:v>43.9</x:v>
      </x:c>
      <x:c r="I172" s="25" t="n">
        <x:v>0.006523794502181879</x:v>
      </x:c>
      <x:c r="J172" s="24" t="n">
        <x:f>ROUND(E172-F172,1)</x:f>
        <x:v>89.7</x:v>
      </x:c>
      <x:c r="K172" s="23" t="str">
        <x:v>中证1000</x:v>
      </x:c>
    </x:row>
    <x:row r="173">
      <x:c r="A173" s="23" t="n">
        <x:v>22</x:v>
      </x:c>
      <x:c r="B173" s="23" t="str">
        <x:v>周三</x:v>
      </x:c>
      <x:c r="C173" s="23" t="str">
        <x:v>7月30日</x:v>
      </x:c>
      <x:c r="D173" s="24" t="n">
        <x:v>6758.327</x:v>
      </x:c>
      <x:c r="E173" s="24" t="n">
        <x:v>6770.883</x:v>
      </x:c>
      <x:c r="F173" s="24" t="n">
        <x:v>6662.906</x:v>
      </x:c>
      <x:c r="G173" s="24" t="n">
        <x:v>6718.482</x:v>
      </x:c>
      <x:c r="H173" s="24" t="n">
        <x:v>-55.4</x:v>
      </x:c>
      <x:c r="I173" s="25" t="n">
        <x:v>-0.008178764206768219</x:v>
      </x:c>
      <x:c r="J173" s="24" t="n">
        <x:f>ROUND(E173-F173,1)</x:f>
        <x:v>108</x:v>
      </x:c>
      <x:c r="K173" s="23" t="str">
        <x:v>中证1000</x:v>
      </x:c>
    </x:row>
    <x:row r="174">
      <x:c r="A174" s="23" t="n">
        <x:v>23</x:v>
      </x:c>
      <x:c r="B174" s="23" t="str">
        <x:v>周四</x:v>
      </x:c>
      <x:c r="C174" s="23" t="str">
        <x:v>7月31日</x:v>
      </x:c>
      <x:c r="D174" s="24" t="n">
        <x:v>6701.156</x:v>
      </x:c>
      <x:c r="E174" s="24" t="n">
        <x:v>6750.078</x:v>
      </x:c>
      <x:c r="F174" s="24" t="n">
        <x:v>6639.123</x:v>
      </x:c>
      <x:c r="G174" s="24" t="n">
        <x:v>6661.186</x:v>
      </x:c>
      <x:c r="H174" s="24" t="n">
        <x:v>-57.3</x:v>
      </x:c>
      <x:c r="I174" s="25" t="n">
        <x:v>-0.00852811691688693</x:v>
      </x:c>
      <x:c r="J174" s="24" t="n">
        <x:f>ROUND(E174-F174,1)</x:f>
        <x:v>111</x:v>
      </x:c>
      <x:c r="K174" s="23" t="str">
        <x:v>中证1000</x:v>
      </x:c>
    </x:row>
    <x:row r="175">
      <x:c r="A175" s="38" t="str">
        <x:v>合计</x:v>
      </x:c>
      <x:c r="B175" s="37" t="n">
        <x:v>23</x:v>
      </x:c>
      <x:c r="C175" s="37"/>
      <x:c r="D175" s="37"/>
      <x:c r="E175" s="37"/>
      <x:c r="F175" s="37"/>
      <x:c r="G175" s="37"/>
      <x:c r="H175" s="37"/>
      <x:c r="I175" s="37"/>
      <x:c r="J175" s="39" t="n">
        <x:f>ROUND(SUM(J152:J174),1)</x:f>
        <x:v>1599.2</x:v>
      </x:c>
      <x:c r="K175" s="37"/>
    </x:row>
    <x:row r="176">
      <x:c r="A176" s="38" t="str">
        <x:v>均值</x:v>
      </x:c>
      <x:c r="B176" s="37"/>
      <x:c r="C176" s="37"/>
      <x:c r="D176" s="37"/>
      <x:c r="E176" s="37"/>
      <x:c r="F176" s="37"/>
      <x:c r="G176" s="37"/>
      <x:c r="H176" s="37"/>
      <x:c r="I176" s="37"/>
      <x:c r="J176" s="41" t="n">
        <x:f>ROUND(IFERROR(AVERAGE(J152:J174),0),1)</x:f>
        <x:v>69.5</x:v>
      </x:c>
      <x:c r="K176" s="37"/>
    </x:row>
    <x:row r="178">
      <x:c r="A178" s="17" t="str">
        <x:v>8月</x:v>
      </x:c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</x:row>
    <x:row r="179">
      <x:c r="A179" s="20" t="str">
        <x:v>序号</x:v>
      </x:c>
      <x:c r="B179" s="20" t="str">
        <x:v>星期</x:v>
      </x:c>
      <x:c r="C179" s="20" t="str">
        <x:v>日期</x:v>
      </x:c>
      <x:c r="D179" s="20" t="str">
        <x:v>开盘</x:v>
      </x:c>
      <x:c r="E179" s="20" t="str">
        <x:v>高点</x:v>
      </x:c>
      <x:c r="F179" s="20" t="str">
        <x:v>低点</x:v>
      </x:c>
      <x:c r="G179" s="20" t="str">
        <x:v>收盘</x:v>
      </x:c>
      <x:c r="H179" s="20" t="str">
        <x:v>涨跌点数</x:v>
      </x:c>
      <x:c r="I179" s="20" t="str">
        <x:v>涨幅</x:v>
      </x:c>
      <x:c r="J179" s="20" t="str">
        <x:v>振幅</x:v>
      </x:c>
      <x:c r="K179" s="20" t="str">
        <x:v>标的</x:v>
      </x:c>
    </x:row>
    <x:row r="180">
      <x:c r="A180" s="23" t="n">
        <x:v>1</x:v>
      </x:c>
      <x:c r="B180" s="23" t="str">
        <x:v>周五</x:v>
      </x:c>
      <x:c r="C180" s="23" t="str">
        <x:v>8月1日</x:v>
      </x:c>
      <x:c r="D180" s="24" t="n">
        <x:v>6665.642</x:v>
      </x:c>
      <x:c r="E180" s="24" t="n">
        <x:v>6702.679</x:v>
      </x:c>
      <x:c r="F180" s="24" t="n">
        <x:v>6625.928</x:v>
      </x:c>
      <x:c r="G180" s="24" t="n">
        <x:v>6670.472</x:v>
      </x:c>
      <x:c r="H180" s="24" t="n">
        <x:v>9.3</x:v>
      </x:c>
      <x:c r="I180" s="25" t="n">
        <x:v>0.0013940460452537273</x:v>
      </x:c>
      <x:c r="J180" s="24" t="n">
        <x:f>ROUND(E180-F180,1)</x:f>
        <x:v>76.8</x:v>
      </x:c>
      <x:c r="K180" s="23" t="str">
        <x:v>中证1000</x:v>
      </x:c>
    </x:row>
    <x:row r="181">
      <x:c r="A181" s="23" t="n">
        <x:v>2</x:v>
      </x:c>
      <x:c r="B181" s="23" t="str">
        <x:v>周一</x:v>
      </x:c>
      <x:c r="C181" s="23" t="str">
        <x:v>8月4日</x:v>
      </x:c>
      <x:c r="D181" s="24" t="n">
        <x:v>6637.839</x:v>
      </x:c>
      <x:c r="E181" s="24" t="n">
        <x:v>6739.725</x:v>
      </x:c>
      <x:c r="F181" s="24" t="n">
        <x:v>6631.124</x:v>
      </x:c>
      <x:c r="G181" s="24" t="n">
        <x:v>6739.694</x:v>
      </x:c>
      <x:c r="H181" s="24" t="n">
        <x:v>69.2</x:v>
      </x:c>
      <x:c r="I181" s="25" t="n">
        <x:v>0.010377376593440513</x:v>
      </x:c>
      <x:c r="J181" s="24" t="n">
        <x:f>ROUND(E181-F181,1)</x:f>
        <x:v>108.6</x:v>
      </x:c>
      <x:c r="K181" s="23" t="str">
        <x:v>中证1000</x:v>
      </x:c>
    </x:row>
    <x:row r="182">
      <x:c r="A182" s="23" t="n">
        <x:v>3</x:v>
      </x:c>
      <x:c r="B182" s="23" t="str">
        <x:v>周二</x:v>
      </x:c>
      <x:c r="C182" s="23" t="str">
        <x:v>8月5日</x:v>
      </x:c>
      <x:c r="D182" s="24" t="n">
        <x:v>6753.527</x:v>
      </x:c>
      <x:c r="E182" s="24" t="n">
        <x:v>6787.481</x:v>
      </x:c>
      <x:c r="F182" s="24" t="n">
        <x:v>6744.072</x:v>
      </x:c>
      <x:c r="G182" s="24" t="n">
        <x:v>6787.481</x:v>
      </x:c>
      <x:c r="H182" s="24" t="n">
        <x:v>47.8</x:v>
      </x:c>
      <x:c r="I182" s="25" t="n">
        <x:v>0.007090381254697853</x:v>
      </x:c>
      <x:c r="J182" s="24" t="n">
        <x:f>ROUND(E182-F182,1)</x:f>
        <x:v>43.4</x:v>
      </x:c>
      <x:c r="K182" s="23" t="str">
        <x:v>中证1000</x:v>
      </x:c>
    </x:row>
    <x:row r="183">
      <x:c r="A183" s="23" t="n">
        <x:v>4</x:v>
      </x:c>
      <x:c r="B183" s="23" t="str">
        <x:v>周三</x:v>
      </x:c>
      <x:c r="C183" s="23" t="str">
        <x:v>8月6日</x:v>
      </x:c>
      <x:c r="D183" s="24" t="n">
        <x:v>6784.175</x:v>
      </x:c>
      <x:c r="E183" s="24" t="n">
        <x:v>6865.017</x:v>
      </x:c>
      <x:c r="F183" s="24" t="n">
        <x:v>6774.033</x:v>
      </x:c>
      <x:c r="G183" s="24" t="n">
        <x:v>6861.309</x:v>
      </x:c>
      <x:c r="H183" s="24" t="n">
        <x:v>73.8</x:v>
      </x:c>
      <x:c r="I183" s="25" t="n">
        <x:v>0.010877083854820446</x:v>
      </x:c>
      <x:c r="J183" s="24" t="n">
        <x:f>ROUND(E183-F183,1)</x:f>
        <x:v>91</x:v>
      </x:c>
      <x:c r="K183" s="23" t="str">
        <x:v>中证1000</x:v>
      </x:c>
    </x:row>
    <x:row r="184">
      <x:c r="A184" s="23" t="n">
        <x:v>5</x:v>
      </x:c>
      <x:c r="B184" s="23" t="str">
        <x:v>周四</x:v>
      </x:c>
      <x:c r="C184" s="23" t="str">
        <x:v>8月7日</x:v>
      </x:c>
      <x:c r="D184" s="24" t="n">
        <x:v>6864.446</x:v>
      </x:c>
      <x:c r="E184" s="24" t="n">
        <x:v>6876.497</x:v>
      </x:c>
      <x:c r="F184" s="24" t="n">
        <x:v>6813.774</x:v>
      </x:c>
      <x:c r="G184" s="24" t="n">
        <x:v>6862.15</x:v>
      </x:c>
      <x:c r="H184" s="24" t="n">
        <x:v>0.8</x:v>
      </x:c>
      <x:c r="I184" s="25" t="n">
        <x:v>0.0001225713635690795</x:v>
      </x:c>
      <x:c r="J184" s="24" t="n">
        <x:f>ROUND(E184-F184,1)</x:f>
        <x:v>62.7</x:v>
      </x:c>
      <x:c r="K184" s="23" t="str">
        <x:v>中证1000</x:v>
      </x:c>
    </x:row>
    <x:row r="185">
      <x:c r="A185" s="23" t="n">
        <x:v>6</x:v>
      </x:c>
      <x:c r="B185" s="23" t="str">
        <x:v>周五</x:v>
      </x:c>
      <x:c r="C185" s="23" t="str">
        <x:v>8月8日</x:v>
      </x:c>
      <x:c r="D185" s="24" t="n">
        <x:v>6844.439</x:v>
      </x:c>
      <x:c r="E185" s="24" t="n">
        <x:v>6865.838</x:v>
      </x:c>
      <x:c r="F185" s="24" t="n">
        <x:v>6816.094</x:v>
      </x:c>
      <x:c r="G185" s="24" t="n">
        <x:v>6838.13</x:v>
      </x:c>
      <x:c r="H185" s="24" t="n">
        <x:v>-24</x:v>
      </x:c>
      <x:c r="I185" s="25" t="n">
        <x:v>-0.0035003606741326188</x:v>
      </x:c>
      <x:c r="J185" s="24" t="n">
        <x:f>ROUND(E185-F185,1)</x:f>
        <x:v>49.7</x:v>
      </x:c>
      <x:c r="K185" s="23" t="str">
        <x:v>中证1000</x:v>
      </x:c>
    </x:row>
    <x:row r="186">
      <x:c r="A186" s="23" t="n">
        <x:v>7</x:v>
      </x:c>
      <x:c r="B186" s="23" t="str">
        <x:v>周一</x:v>
      </x:c>
      <x:c r="C186" s="23" t="str">
        <x:v>8月11日</x:v>
      </x:c>
      <x:c r="D186" s="24" t="n">
        <x:v>6850.572</x:v>
      </x:c>
      <x:c r="E186" s="24" t="n">
        <x:v>6957.404</x:v>
      </x:c>
      <x:c r="F186" s="24" t="n">
        <x:v>6850.572</x:v>
      </x:c>
      <x:c r="G186" s="24" t="n">
        <x:v>6943.937</x:v>
      </x:c>
      <x:c r="H186" s="24" t="n">
        <x:v>105.8</x:v>
      </x:c>
      <x:c r="I186" s="25" t="n">
        <x:v>0.015473089865211564</x:v>
      </x:c>
      <x:c r="J186" s="24" t="n">
        <x:f>ROUND(E186-F186,1)</x:f>
        <x:v>106.8</x:v>
      </x:c>
      <x:c r="K186" s="23" t="str">
        <x:v>中证1000</x:v>
      </x:c>
    </x:row>
    <x:row r="187">
      <x:c r="A187" s="23" t="n">
        <x:v>8</x:v>
      </x:c>
      <x:c r="B187" s="23" t="str">
        <x:v>周二</x:v>
      </x:c>
      <x:c r="C187" s="23" t="str">
        <x:v>8月12日</x:v>
      </x:c>
      <x:c r="D187" s="24" t="n">
        <x:v>6943.666</x:v>
      </x:c>
      <x:c r="E187" s="24" t="n">
        <x:v>6963.804</x:v>
      </x:c>
      <x:c r="F187" s="24" t="n">
        <x:v>6894.846</x:v>
      </x:c>
      <x:c r="G187" s="24" t="n">
        <x:v>6963.611</x:v>
      </x:c>
      <x:c r="H187" s="24" t="n">
        <x:v>19.7</x:v>
      </x:c>
      <x:c r="I187" s="25" t="n">
        <x:v>0.0028332630321963315</x:v>
      </x:c>
      <x:c r="J187" s="24" t="n">
        <x:f>ROUND(E187-F187,1)</x:f>
        <x:v>69</x:v>
      </x:c>
      <x:c r="K187" s="23" t="str">
        <x:v>中证1000</x:v>
      </x:c>
    </x:row>
    <x:row r="188">
      <x:c r="A188" s="23" t="n">
        <x:v>9</x:v>
      </x:c>
      <x:c r="B188" s="23" t="str">
        <x:v>周三</x:v>
      </x:c>
      <x:c r="C188" s="23" t="str">
        <x:v>8月13日</x:v>
      </x:c>
      <x:c r="D188" s="24" t="n">
        <x:v>6966.273</x:v>
      </x:c>
      <x:c r="E188" s="24" t="n">
        <x:v>7070.504</x:v>
      </x:c>
      <x:c r="F188" s="24" t="n">
        <x:v>6966.273</x:v>
      </x:c>
      <x:c r="G188" s="24" t="n">
        <x:v>7064.334</x:v>
      </x:c>
      <x:c r="H188" s="24" t="n">
        <x:v>100.7</x:v>
      </x:c>
      <x:c r="I188" s="25" t="n">
        <x:v>0.014464191064090137</x:v>
      </x:c>
      <x:c r="J188" s="24" t="n">
        <x:f>ROUND(E188-F188,1)</x:f>
        <x:v>104.2</x:v>
      </x:c>
      <x:c r="K188" s="23" t="str">
        <x:v>中证1000</x:v>
      </x:c>
    </x:row>
    <x:row r="189">
      <x:c r="A189" s="23" t="n">
        <x:v>10</x:v>
      </x:c>
      <x:c r="B189" s="23" t="str">
        <x:v>周四</x:v>
      </x:c>
      <x:c r="C189" s="23" t="str">
        <x:v>8月14日</x:v>
      </x:c>
      <x:c r="D189" s="24" t="n">
        <x:v>7072.903</x:v>
      </x:c>
      <x:c r="E189" s="24" t="n">
        <x:v>7077.809</x:v>
      </x:c>
      <x:c r="F189" s="24" t="n">
        <x:v>6957.397</x:v>
      </x:c>
      <x:c r="G189" s="24" t="n">
        <x:v>6976.488</x:v>
      </x:c>
      <x:c r="H189" s="24" t="n">
        <x:v>-87.8</x:v>
      </x:c>
      <x:c r="I189" s="25" t="n">
        <x:v>-0.012435142506002639</x:v>
      </x:c>
      <x:c r="J189" s="24" t="n">
        <x:f>ROUND(E189-F189,1)</x:f>
        <x:v>120.4</x:v>
      </x:c>
      <x:c r="K189" s="23" t="str">
        <x:v>中证1000</x:v>
      </x:c>
    </x:row>
    <x:row r="190">
      <x:c r="A190" s="33" t="n">
        <x:v>11</x:v>
      </x:c>
      <x:c r="B190" s="33" t="str">
        <x:v>周五</x:v>
      </x:c>
      <x:c r="C190" s="33" t="str">
        <x:v>8月15日</x:v>
      </x:c>
      <x:c r="D190" s="34" t="n">
        <x:v>6956.508</x:v>
      </x:c>
      <x:c r="E190" s="34" t="n">
        <x:v>7117.51</x:v>
      </x:c>
      <x:c r="F190" s="34" t="n">
        <x:v>6956.508</x:v>
      </x:c>
      <x:c r="G190" s="34" t="n">
        <x:v>7117.501</x:v>
      </x:c>
      <x:c r="H190" s="34" t="n">
        <x:v>141</x:v>
      </x:c>
      <x:c r="I190" s="35" t="n">
        <x:v>0.02021260554020876</x:v>
      </x:c>
      <x:c r="J190" s="34" t="n">
        <x:f>ROUND(E190-F190,1)</x:f>
        <x:v>161</x:v>
      </x:c>
      <x:c r="K190" s="33" t="str">
        <x:v>中证1000</x:v>
      </x:c>
    </x:row>
    <x:row r="191">
      <x:c r="A191" s="23" t="n">
        <x:v>12</x:v>
      </x:c>
      <x:c r="B191" s="23" t="str">
        <x:v>周一</x:v>
      </x:c>
      <x:c r="C191" s="23" t="str">
        <x:v>8月18日</x:v>
      </x:c>
      <x:c r="D191" s="24" t="n">
        <x:v>7158.531</x:v>
      </x:c>
      <x:c r="E191" s="24" t="n">
        <x:v>7267.981</x:v>
      </x:c>
      <x:c r="F191" s="24" t="n">
        <x:v>7143.066</x:v>
      </x:c>
      <x:c r="G191" s="24" t="n">
        <x:v>7237.602</x:v>
      </x:c>
      <x:c r="H191" s="24" t="n">
        <x:v>120.1</x:v>
      </x:c>
      <x:c r="I191" s="25" t="n">
        <x:v>0.016874040481343</x:v>
      </x:c>
      <x:c r="J191" s="24" t="n">
        <x:f>ROUND(E191-F191,1)</x:f>
        <x:v>124.9</x:v>
      </x:c>
      <x:c r="K191" s="23" t="str">
        <x:v>中证1000</x:v>
      </x:c>
    </x:row>
    <x:row r="192">
      <x:c r="A192" s="23" t="n">
        <x:v>13</x:v>
      </x:c>
      <x:c r="B192" s="23" t="str">
        <x:v>周二</x:v>
      </x:c>
      <x:c r="C192" s="23" t="str">
        <x:v>8月19日</x:v>
      </x:c>
      <x:c r="D192" s="24" t="n">
        <x:v>7231.93</x:v>
      </x:c>
      <x:c r="E192" s="24" t="n">
        <x:v>7289.032</x:v>
      </x:c>
      <x:c r="F192" s="24" t="n">
        <x:v>7193.595</x:v>
      </x:c>
      <x:c r="G192" s="24" t="n">
        <x:v>7242.849</x:v>
      </x:c>
      <x:c r="H192" s="24" t="n">
        <x:v>5.2</x:v>
      </x:c>
      <x:c r="I192" s="25" t="n">
        <x:v>0.0007249638761568367</x:v>
      </x:c>
      <x:c r="J192" s="24" t="n">
        <x:f>ROUND(E192-F192,1)</x:f>
        <x:v>95.4</x:v>
      </x:c>
      <x:c r="K192" s="23" t="str">
        <x:v>中证1000</x:v>
      </x:c>
    </x:row>
    <x:row r="193">
      <x:c r="A193" s="23" t="n">
        <x:v>14</x:v>
      </x:c>
      <x:c r="B193" s="23" t="str">
        <x:v>周三</x:v>
      </x:c>
      <x:c r="C193" s="23" t="str">
        <x:v>8月20日</x:v>
      </x:c>
      <x:c r="D193" s="24" t="n">
        <x:v>7212.97</x:v>
      </x:c>
      <x:c r="E193" s="24" t="n">
        <x:v>7305.461</x:v>
      </x:c>
      <x:c r="F193" s="24" t="n">
        <x:v>7166.991</x:v>
      </x:c>
      <x:c r="G193" s="24" t="n">
        <x:v>7305.461</x:v>
      </x:c>
      <x:c r="H193" s="24" t="n">
        <x:v>62.6</x:v>
      </x:c>
      <x:c r="I193" s="25" t="n">
        <x:v>0.008644664551200831</x:v>
      </x:c>
      <x:c r="J193" s="24" t="n">
        <x:f>ROUND(E193-F193,1)</x:f>
        <x:v>138.5</x:v>
      </x:c>
      <x:c r="K193" s="23" t="str">
        <x:v>中证1000</x:v>
      </x:c>
    </x:row>
    <x:row r="194">
      <x:c r="A194" s="23" t="n">
        <x:v>15</x:v>
      </x:c>
      <x:c r="B194" s="23" t="str">
        <x:v>周四</x:v>
      </x:c>
      <x:c r="C194" s="23" t="str">
        <x:v>8月21日</x:v>
      </x:c>
      <x:c r="D194" s="24" t="n">
        <x:v>7318.757</x:v>
      </x:c>
      <x:c r="E194" s="24" t="n">
        <x:v>7343.174</x:v>
      </x:c>
      <x:c r="F194" s="24" t="n">
        <x:v>7215.338</x:v>
      </x:c>
      <x:c r="G194" s="24" t="n">
        <x:v>7253.343</x:v>
      </x:c>
      <x:c r="H194" s="24" t="n">
        <x:v>-52.1</x:v>
      </x:c>
      <x:c r="I194" s="25" t="n">
        <x:v>-0.007134115150296494</x:v>
      </x:c>
      <x:c r="J194" s="24" t="n">
        <x:f>ROUND(E194-F194,1)</x:f>
        <x:v>127.8</x:v>
      </x:c>
      <x:c r="K194" s="23" t="str">
        <x:v>中证1000</x:v>
      </x:c>
    </x:row>
    <x:row r="195">
      <x:c r="A195" s="23" t="n">
        <x:v>16</x:v>
      </x:c>
      <x:c r="B195" s="23" t="str">
        <x:v>周五</x:v>
      </x:c>
      <x:c r="C195" s="23" t="str">
        <x:v>8月22日</x:v>
      </x:c>
      <x:c r="D195" s="24" t="n">
        <x:v>7250.191</x:v>
      </x:c>
      <x:c r="E195" s="24" t="n">
        <x:v>7362.94</x:v>
      </x:c>
      <x:c r="F195" s="24" t="n">
        <x:v>7250.191</x:v>
      </x:c>
      <x:c r="G195" s="24" t="n">
        <x:v>7362.94</x:v>
      </x:c>
      <x:c r="H195" s="24" t="n">
        <x:v>109.6</x:v>
      </x:c>
      <x:c r="I195" s="25" t="n">
        <x:v>0.015109860377483741</x:v>
      </x:c>
      <x:c r="J195" s="24" t="n">
        <x:f>ROUND(E195-F195,1)</x:f>
        <x:v>112.7</x:v>
      </x:c>
      <x:c r="K195" s="23" t="str">
        <x:v>中证1000</x:v>
      </x:c>
    </x:row>
    <x:row r="196">
      <x:c r="A196" s="23" t="n">
        <x:v>17</x:v>
      </x:c>
      <x:c r="B196" s="23" t="str">
        <x:v>周一</x:v>
      </x:c>
      <x:c r="C196" s="23" t="str">
        <x:v>8月25日</x:v>
      </x:c>
      <x:c r="D196" s="24" t="n">
        <x:v>7418.346</x:v>
      </x:c>
      <x:c r="E196" s="24" t="n">
        <x:v>7504.009</x:v>
      </x:c>
      <x:c r="F196" s="24" t="n">
        <x:v>7405.939</x:v>
      </x:c>
      <x:c r="G196" s="24" t="n">
        <x:v>7477.728</x:v>
      </x:c>
      <x:c r="H196" s="24" t="n">
        <x:v>114.8</x:v>
      </x:c>
      <x:c r="I196" s="25" t="n">
        <x:v>0.015589968137727617</x:v>
      </x:c>
      <x:c r="J196" s="24" t="n">
        <x:f>ROUND(E196-F196,1)</x:f>
        <x:v>98.1</x:v>
      </x:c>
      <x:c r="K196" s="23" t="str">
        <x:v>中证1000</x:v>
      </x:c>
    </x:row>
    <x:row r="197">
      <x:c r="A197" s="23" t="n">
        <x:v>18</x:v>
      </x:c>
      <x:c r="B197" s="23" t="str">
        <x:v>周二</x:v>
      </x:c>
      <x:c r="C197" s="23" t="str">
        <x:v>8月26日</x:v>
      </x:c>
      <x:c r="D197" s="24" t="n">
        <x:v>7457.77</x:v>
      </x:c>
      <x:c r="E197" s="24" t="n">
        <x:v>7526.166</x:v>
      </x:c>
      <x:c r="F197" s="24" t="n">
        <x:v>7435.301</x:v>
      </x:c>
      <x:c r="G197" s="24" t="n">
        <x:v>7476.467</x:v>
      </x:c>
      <x:c r="H197" s="24" t="n">
        <x:v>-1.3</x:v>
      </x:c>
      <x:c r="I197" s="25" t="n">
        <x:v>-0.00016863410918399602</x:v>
      </x:c>
      <x:c r="J197" s="24" t="n">
        <x:f>ROUND(E197-F197,1)</x:f>
        <x:v>90.9</x:v>
      </x:c>
      <x:c r="K197" s="23" t="str">
        <x:v>中证1000</x:v>
      </x:c>
    </x:row>
    <x:row r="198">
      <x:c r="A198" s="23" t="n">
        <x:v>19</x:v>
      </x:c>
      <x:c r="B198" s="23" t="str">
        <x:v>周三</x:v>
      </x:c>
      <x:c r="C198" s="23" t="str">
        <x:v>8月27日</x:v>
      </x:c>
      <x:c r="D198" s="24" t="n">
        <x:v>7488.928</x:v>
      </x:c>
      <x:c r="E198" s="24" t="n">
        <x:v>7565.353</x:v>
      </x:c>
      <x:c r="F198" s="24" t="n">
        <x:v>7336.504</x:v>
      </x:c>
      <x:c r="G198" s="24" t="n">
        <x:v>7336.504</x:v>
      </x:c>
      <x:c r="H198" s="24" t="n">
        <x:v>-140</x:v>
      </x:c>
      <x:c r="I198" s="25" t="n">
        <x:v>-0.018720473186064956</x:v>
      </x:c>
      <x:c r="J198" s="29" t="n">
        <x:f>ROUND(E198-F198,1)</x:f>
        <x:v>228.8</x:v>
      </x:c>
      <x:c r="K198" s="23" t="str">
        <x:v>中证1000</x:v>
      </x:c>
    </x:row>
    <x:row r="199">
      <x:c r="A199" s="23" t="n">
        <x:v>20</x:v>
      </x:c>
      <x:c r="B199" s="23" t="str">
        <x:v>周四</x:v>
      </x:c>
      <x:c r="C199" s="23" t="str">
        <x:v>8月28日</x:v>
      </x:c>
      <x:c r="D199" s="24" t="n">
        <x:v>7331.187</x:v>
      </x:c>
      <x:c r="E199" s="24" t="n">
        <x:v>7447.11</x:v>
      </x:c>
      <x:c r="F199" s="24" t="n">
        <x:v>7216.766</x:v>
      </x:c>
      <x:c r="G199" s="24" t="n">
        <x:v>7447.11</x:v>
      </x:c>
      <x:c r="H199" s="24" t="n">
        <x:v>110.6</x:v>
      </x:c>
      <x:c r="I199" s="25" t="n">
        <x:v>0.015076117998436223</x:v>
      </x:c>
      <x:c r="J199" s="29" t="n">
        <x:f>ROUND(E199-F199,1)</x:f>
        <x:v>230.3</x:v>
      </x:c>
      <x:c r="K199" s="23" t="str">
        <x:v>中证1000</x:v>
      </x:c>
    </x:row>
    <x:row r="200">
      <x:c r="A200" s="23" t="n">
        <x:v>21</x:v>
      </x:c>
      <x:c r="B200" s="23" t="str">
        <x:v>周五</x:v>
      </x:c>
      <x:c r="C200" s="23" t="str">
        <x:v>8月29日</x:v>
      </x:c>
      <x:c r="D200" s="24" t="n">
        <x:v>7449.864</x:v>
      </x:c>
      <x:c r="E200" s="24" t="n">
        <x:v>7477.204</x:v>
      </x:c>
      <x:c r="F200" s="24" t="n">
        <x:v>7380.83</x:v>
      </x:c>
      <x:c r="G200" s="24" t="n">
        <x:v>7438.677</x:v>
      </x:c>
      <x:c r="H200" s="24" t="n">
        <x:v>-8.4</x:v>
      </x:c>
      <x:c r="I200" s="25" t="n">
        <x:v>-0.0011323855831322227</x:v>
      </x:c>
      <x:c r="J200" s="24" t="n">
        <x:f>ROUND(E200-F200,1)</x:f>
        <x:v>96.4</x:v>
      </x:c>
      <x:c r="K200" s="23" t="str">
        <x:v>中证1000</x:v>
      </x:c>
    </x:row>
    <x:row r="201">
      <x:c r="A201" s="38" t="str">
        <x:v>合计</x:v>
      </x:c>
      <x:c r="B201" s="37" t="n">
        <x:v>21</x:v>
      </x:c>
      <x:c r="C201" s="37"/>
      <x:c r="D201" s="37"/>
      <x:c r="E201" s="37"/>
      <x:c r="F201" s="37"/>
      <x:c r="G201" s="37"/>
      <x:c r="H201" s="37"/>
      <x:c r="I201" s="37"/>
      <x:c r="J201" s="39" t="n">
        <x:f>ROUND(SUM(J180:J200),1)</x:f>
        <x:v>2337.4</x:v>
      </x:c>
      <x:c r="K201" s="37"/>
    </x:row>
    <x:row r="202">
      <x:c r="A202" s="38" t="str">
        <x:v>均值</x:v>
      </x:c>
      <x:c r="B202" s="37"/>
      <x:c r="C202" s="37"/>
      <x:c r="D202" s="37"/>
      <x:c r="E202" s="37"/>
      <x:c r="F202" s="37"/>
      <x:c r="G202" s="37"/>
      <x:c r="H202" s="37"/>
      <x:c r="I202" s="37"/>
      <x:c r="J202" s="41" t="n">
        <x:f>ROUND(IFERROR(AVERAGE(J180:J200),0),1)</x:f>
        <x:v>111.3</x:v>
      </x:c>
      <x:c r="K202" s="37"/>
    </x:row>
    <x:row r="204">
      <x:c r="A204" s="17" t="str">
        <x:v>9月</x:v>
      </x:c>
      <x:c r="B204" s="17"/>
      <x:c r="C204" s="17"/>
      <x:c r="D204" s="17"/>
      <x:c r="E204" s="17"/>
      <x:c r="F204" s="17"/>
      <x:c r="G204" s="17"/>
      <x:c r="H204" s="17"/>
      <x:c r="I204" s="17"/>
      <x:c r="J204" s="17"/>
      <x:c r="K204" s="17"/>
    </x:row>
    <x:row r="205">
      <x:c r="A205" s="20" t="str">
        <x:v>序号</x:v>
      </x:c>
      <x:c r="B205" s="20" t="str">
        <x:v>星期</x:v>
      </x:c>
      <x:c r="C205" s="20" t="str">
        <x:v>日期</x:v>
      </x:c>
      <x:c r="D205" s="20" t="str">
        <x:v>开盘</x:v>
      </x:c>
      <x:c r="E205" s="20" t="str">
        <x:v>高点</x:v>
      </x:c>
      <x:c r="F205" s="20" t="str">
        <x:v>低点</x:v>
      </x:c>
      <x:c r="G205" s="20" t="str">
        <x:v>收盘</x:v>
      </x:c>
      <x:c r="H205" s="20" t="str">
        <x:v>涨跌点数</x:v>
      </x:c>
      <x:c r="I205" s="20" t="str">
        <x:v>涨幅</x:v>
      </x:c>
      <x:c r="J205" s="20" t="str">
        <x:v>振幅</x:v>
      </x:c>
      <x:c r="K205" s="20" t="str">
        <x:v>标的</x:v>
      </x:c>
    </x:row>
    <x:row r="206">
      <x:c r="A206" s="23" t="n">
        <x:v>1</x:v>
      </x:c>
      <x:c r="B206" s="23" t="str">
        <x:v>周一</x:v>
      </x:c>
      <x:c r="C206" s="23" t="str">
        <x:v>9月1日</x:v>
      </x:c>
      <x:c r="D206" s="24" t="n">
        <x:v>7475</x:v>
      </x:c>
      <x:c r="E206" s="24" t="n">
        <x:v>7502.592</x:v>
      </x:c>
      <x:c r="F206" s="24" t="n">
        <x:v>7424.341</x:v>
      </x:c>
      <x:c r="G206" s="24" t="n">
        <x:v>7501.148</x:v>
      </x:c>
      <x:c r="H206" s="24" t="n">
        <x:v>62.5</x:v>
      </x:c>
      <x:c r="I206" s="25" t="n">
        <x:v>0.008398133162657917</x:v>
      </x:c>
      <x:c r="J206" s="24" t="n">
        <x:f>ROUND(E206-F206,1)</x:f>
        <x:v>78.3</x:v>
      </x:c>
      <x:c r="K206" s="23" t="str">
        <x:v>中证1000</x:v>
      </x:c>
    </x:row>
    <x:row r="207">
      <x:c r="A207" s="23" t="n">
        <x:v>2</x:v>
      </x:c>
      <x:c r="B207" s="23" t="str">
        <x:v>周二</x:v>
      </x:c>
      <x:c r="C207" s="23" t="str">
        <x:v>9月2日</x:v>
      </x:c>
      <x:c r="D207" s="24" t="n">
        <x:v>7498.445</x:v>
      </x:c>
      <x:c r="E207" s="24" t="n">
        <x:v>7499.602</x:v>
      </x:c>
      <x:c r="F207" s="24" t="n">
        <x:v>7258.589</x:v>
      </x:c>
      <x:c r="G207" s="24" t="n">
        <x:v>7313.882</x:v>
      </x:c>
      <x:c r="H207" s="27" t="n">
        <x:v>-187.3</x:v>
      </x:c>
      <x:c r="I207" s="25" t="n">
        <x:v>-0.024964978693927997</x:v>
      </x:c>
      <x:c r="J207" s="29" t="n">
        <x:f>ROUND(E207-F207,1)</x:f>
        <x:v>241</x:v>
      </x:c>
      <x:c r="K207" s="23" t="str">
        <x:v>中证1000</x:v>
      </x:c>
    </x:row>
    <x:row r="208">
      <x:c r="A208" s="23" t="n">
        <x:v>3</x:v>
      </x:c>
      <x:c r="B208" s="23" t="str">
        <x:v>周三</x:v>
      </x:c>
      <x:c r="C208" s="23" t="str">
        <x:v>9月3日</x:v>
      </x:c>
      <x:c r="D208" s="24" t="n">
        <x:v>7336.386</x:v>
      </x:c>
      <x:c r="E208" s="24" t="n">
        <x:v>7361.028</x:v>
      </x:c>
      <x:c r="F208" s="24" t="n">
        <x:v>7182.291</x:v>
      </x:c>
      <x:c r="G208" s="24" t="n">
        <x:v>7206.876</x:v>
      </x:c>
      <x:c r="H208" s="24" t="n">
        <x:v>-107</x:v>
      </x:c>
      <x:c r="I208" s="25" t="n">
        <x:v>-0.014630534099401626</x:v>
      </x:c>
      <x:c r="J208" s="24" t="n">
        <x:f>ROUND(E208-F208,1)</x:f>
        <x:v>178.7</x:v>
      </x:c>
      <x:c r="K208" s="23" t="str">
        <x:v>中证1000</x:v>
      </x:c>
    </x:row>
    <x:row r="209">
      <x:c r="A209" s="23" t="n">
        <x:v>4</x:v>
      </x:c>
      <x:c r="B209" s="23" t="str">
        <x:v>周四</x:v>
      </x:c>
      <x:c r="C209" s="23" t="str">
        <x:v>9月4日</x:v>
      </x:c>
      <x:c r="D209" s="24" t="n">
        <x:v>7214.72</x:v>
      </x:c>
      <x:c r="E209" s="24" t="n">
        <x:v>7254.999</x:v>
      </x:c>
      <x:c r="F209" s="24" t="n">
        <x:v>6939.665</x:v>
      </x:c>
      <x:c r="G209" s="24" t="n">
        <x:v>7041.154</x:v>
      </x:c>
      <x:c r="H209" s="27" t="n">
        <x:v>-165.7</x:v>
      </x:c>
      <x:c r="I209" s="25" t="n">
        <x:v>-0.022994984234500415</x:v>
      </x:c>
      <x:c r="J209" s="29" t="n">
        <x:f>ROUND(E209-F209,1)</x:f>
        <x:v>315.3</x:v>
      </x:c>
      <x:c r="K209" s="23" t="str">
        <x:v>中证1000</x:v>
      </x:c>
    </x:row>
    <x:row r="210">
      <x:c r="A210" s="23" t="n">
        <x:v>5</x:v>
      </x:c>
      <x:c r="B210" s="23" t="str">
        <x:v>周五</x:v>
      </x:c>
      <x:c r="C210" s="23" t="str">
        <x:v>9月5日</x:v>
      </x:c>
      <x:c r="D210" s="24" t="n">
        <x:v>7046.958</x:v>
      </x:c>
      <x:c r="E210" s="24" t="n">
        <x:v>7248.577</x:v>
      </x:c>
      <x:c r="F210" s="24" t="n">
        <x:v>7017.946</x:v>
      </x:c>
      <x:c r="G210" s="24" t="n">
        <x:v>7245.667</x:v>
      </x:c>
      <x:c r="H210" s="27" t="n">
        <x:v>204.5</x:v>
      </x:c>
      <x:c r="I210" s="25" t="n">
        <x:v>0.0290453809134128</x:v>
      </x:c>
      <x:c r="J210" s="29" t="n">
        <x:f>ROUND(E210-F210,1)</x:f>
        <x:v>230.6</x:v>
      </x:c>
      <x:c r="K210" s="23" t="str">
        <x:v>中证1000</x:v>
      </x:c>
    </x:row>
    <x:row r="211">
      <x:c r="A211" s="23" t="n">
        <x:v>6</x:v>
      </x:c>
      <x:c r="B211" s="23" t="str">
        <x:v>周一</x:v>
      </x:c>
      <x:c r="C211" s="23" t="str">
        <x:v>9月8日</x:v>
      </x:c>
      <x:c r="D211" s="24" t="n">
        <x:v>7257.332</x:v>
      </x:c>
      <x:c r="E211" s="24" t="n">
        <x:v>7321.157</x:v>
      </x:c>
      <x:c r="F211" s="24" t="n">
        <x:v>7220.591</x:v>
      </x:c>
      <x:c r="G211" s="24" t="n">
        <x:v>7311.034</x:v>
      </x:c>
      <x:c r="H211" s="24" t="n">
        <x:v>65.4</x:v>
      </x:c>
      <x:c r="I211" s="25" t="n">
        <x:v>0.00902152969491965</x:v>
      </x:c>
      <x:c r="J211" s="24" t="n">
        <x:f>ROUND(E211-F211,1)</x:f>
        <x:v>100.6</x:v>
      </x:c>
      <x:c r="K211" s="23" t="str">
        <x:v>中证1000</x:v>
      </x:c>
    </x:row>
    <x:row r="212">
      <x:c r="A212" s="23" t="n">
        <x:v>7</x:v>
      </x:c>
      <x:c r="B212" s="23" t="str">
        <x:v>周二</x:v>
      </x:c>
      <x:c r="C212" s="23" t="str">
        <x:v>9月9日</x:v>
      </x:c>
      <x:c r="D212" s="24" t="n">
        <x:v>7287.402</x:v>
      </x:c>
      <x:c r="E212" s="24" t="n">
        <x:v>7315.967</x:v>
      </x:c>
      <x:c r="F212" s="24" t="n">
        <x:v>7198.319</x:v>
      </x:c>
      <x:c r="G212" s="24" t="n">
        <x:v>7226.028</x:v>
      </x:c>
      <x:c r="H212" s="24" t="n">
        <x:v>-85</x:v>
      </x:c>
      <x:c r="I212" s="25" t="n">
        <x:v>-0.011627083118475379</x:v>
      </x:c>
      <x:c r="J212" s="24" t="n">
        <x:f>ROUND(E212-F212,1)</x:f>
        <x:v>117.6</x:v>
      </x:c>
      <x:c r="K212" s="23" t="str">
        <x:v>中证1000</x:v>
      </x:c>
    </x:row>
    <x:row r="213">
      <x:c r="A213" s="23" t="n">
        <x:v>8</x:v>
      </x:c>
      <x:c r="B213" s="23" t="str">
        <x:v>周三</x:v>
      </x:c>
      <x:c r="C213" s="23" t="str">
        <x:v>9月10日</x:v>
      </x:c>
      <x:c r="D213" s="24" t="n">
        <x:v>7214.226</x:v>
      </x:c>
      <x:c r="E213" s="24" t="n">
        <x:v>7296.001</x:v>
      </x:c>
      <x:c r="F213" s="24" t="n">
        <x:v>7179.757</x:v>
      </x:c>
      <x:c r="G213" s="24" t="n">
        <x:v>7230.168</x:v>
      </x:c>
      <x:c r="H213" s="24" t="n">
        <x:v>4.1</x:v>
      </x:c>
      <x:c r="I213" s="25" t="n">
        <x:v>0.0005729288621632023</x:v>
      </x:c>
      <x:c r="J213" s="24" t="n">
        <x:f>ROUND(E213-F213,1)</x:f>
        <x:v>116.2</x:v>
      </x:c>
      <x:c r="K213" s="23" t="str">
        <x:v>中证1000</x:v>
      </x:c>
    </x:row>
    <x:row r="214">
      <x:c r="A214" s="23" t="n">
        <x:v>9</x:v>
      </x:c>
      <x:c r="B214" s="23" t="str">
        <x:v>周四</x:v>
      </x:c>
      <x:c r="C214" s="23" t="str">
        <x:v>9月11日</x:v>
      </x:c>
      <x:c r="D214" s="24" t="n">
        <x:v>7215.928</x:v>
      </x:c>
      <x:c r="E214" s="24" t="n">
        <x:v>7399.885</x:v>
      </x:c>
      <x:c r="F214" s="24" t="n">
        <x:v>7161.281</x:v>
      </x:c>
      <x:c r="G214" s="24" t="n">
        <x:v>7399.885</x:v>
      </x:c>
      <x:c r="H214" s="27" t="n">
        <x:v>169.7</x:v>
      </x:c>
      <x:c r="I214" s="25" t="n">
        <x:v>0.023473451792544786</x:v>
      </x:c>
      <x:c r="J214" s="29" t="n">
        <x:f>ROUND(E214-F214,1)</x:f>
        <x:v>238.6</x:v>
      </x:c>
      <x:c r="K214" s="23" t="str">
        <x:v>中证1000</x:v>
      </x:c>
    </x:row>
    <x:row r="215">
      <x:c r="A215" s="23" t="n">
        <x:v>10</x:v>
      </x:c>
      <x:c r="B215" s="23" t="str">
        <x:v>周五</x:v>
      </x:c>
      <x:c r="C215" s="23" t="str">
        <x:v>9月12日</x:v>
      </x:c>
      <x:c r="D215" s="24" t="n">
        <x:v>7402.417</x:v>
      </x:c>
      <x:c r="E215" s="24" t="n">
        <x:v>7472.874</x:v>
      </x:c>
      <x:c r="F215" s="24" t="n">
        <x:v>7387.589</x:v>
      </x:c>
      <x:c r="G215" s="24" t="n">
        <x:v>7422.884</x:v>
      </x:c>
      <x:c r="H215" s="24" t="n">
        <x:v>23</x:v>
      </x:c>
      <x:c r="I215" s="25" t="n">
        <x:v>0.003108021273303452</x:v>
      </x:c>
      <x:c r="J215" s="24" t="n">
        <x:f>ROUND(E215-F215,1)</x:f>
        <x:v>85.3</x:v>
      </x:c>
      <x:c r="K215" s="23" t="str">
        <x:v>中证1000</x:v>
      </x:c>
    </x:row>
    <x:row r="216">
      <x:c r="A216" s="23" t="n">
        <x:v>11</x:v>
      </x:c>
      <x:c r="B216" s="23" t="str">
        <x:v>周一</x:v>
      </x:c>
      <x:c r="C216" s="23" t="str">
        <x:v>9月15日</x:v>
      </x:c>
      <x:c r="D216" s="24" t="n">
        <x:v>7445.498</x:v>
      </x:c>
      <x:c r="E216" s="24" t="n">
        <x:v>7454.295</x:v>
      </x:c>
      <x:c r="F216" s="24" t="n">
        <x:v>7404.496</x:v>
      </x:c>
      <x:c r="G216" s="24" t="n">
        <x:v>7415.571</x:v>
      </x:c>
      <x:c r="H216" s="24" t="n">
        <x:v>-7.3</x:v>
      </x:c>
      <x:c r="I216" s="25" t="n">
        <x:v>-0.0009851965893580283</x:v>
      </x:c>
      <x:c r="J216" s="24" t="n">
        <x:f>ROUND(E216-F216,1)</x:f>
        <x:v>49.8</x:v>
      </x:c>
      <x:c r="K216" s="23" t="str">
        <x:v>中证1000</x:v>
      </x:c>
    </x:row>
    <x:row r="217">
      <x:c r="A217" s="23" t="n">
        <x:v>12</x:v>
      </x:c>
      <x:c r="B217" s="23" t="str">
        <x:v>周二</x:v>
      </x:c>
      <x:c r="C217" s="23" t="str">
        <x:v>9月16日</x:v>
      </x:c>
      <x:c r="D217" s="24" t="n">
        <x:v>7426.409</x:v>
      </x:c>
      <x:c r="E217" s="24" t="n">
        <x:v>7487.066</x:v>
      </x:c>
      <x:c r="F217" s="24" t="n">
        <x:v>7364.733</x:v>
      </x:c>
      <x:c r="G217" s="24" t="n">
        <x:v>7483.628</x:v>
      </x:c>
      <x:c r="H217" s="24" t="n">
        <x:v>68.1</x:v>
      </x:c>
      <x:c r="I217" s="25" t="n">
        <x:v>0.009177580526165796</x:v>
      </x:c>
      <x:c r="J217" s="24" t="n">
        <x:f>ROUND(E217-F217,1)</x:f>
        <x:v>122.3</x:v>
      </x:c>
      <x:c r="K217" s="23" t="str">
        <x:v>中证1000</x:v>
      </x:c>
    </x:row>
    <x:row r="218">
      <x:c r="A218" s="23" t="n">
        <x:v>13</x:v>
      </x:c>
      <x:c r="B218" s="23" t="str">
        <x:v>周三</x:v>
      </x:c>
      <x:c r="C218" s="23" t="str">
        <x:v>9月17日</x:v>
      </x:c>
      <x:c r="D218" s="24" t="n">
        <x:v>7478.408</x:v>
      </x:c>
      <x:c r="E218" s="24" t="n">
        <x:v>7564.816</x:v>
      </x:c>
      <x:c r="F218" s="24" t="n">
        <x:v>7461.41</x:v>
      </x:c>
      <x:c r="G218" s="24" t="n">
        <x:v>7554.813</x:v>
      </x:c>
      <x:c r="H218" s="24" t="n">
        <x:v>71.2</x:v>
      </x:c>
      <x:c r="I218" s="25" t="n">
        <x:v>0.009512097608272319</x:v>
      </x:c>
      <x:c r="J218" s="24" t="n">
        <x:f>ROUND(E218-F218,1)</x:f>
        <x:v>103.4</x:v>
      </x:c>
      <x:c r="K218" s="23" t="str">
        <x:v>中证1000</x:v>
      </x:c>
    </x:row>
    <x:row r="219">
      <x:c r="A219" s="23" t="n">
        <x:v>14</x:v>
      </x:c>
      <x:c r="B219" s="23" t="str">
        <x:v>周四</x:v>
      </x:c>
      <x:c r="C219" s="23" t="str">
        <x:v>9月18日</x:v>
      </x:c>
      <x:c r="D219" s="24" t="n">
        <x:v>7552.23</x:v>
      </x:c>
      <x:c r="E219" s="24" t="n">
        <x:v>7665.97</x:v>
      </x:c>
      <x:c r="F219" s="24" t="n">
        <x:v>7393.18</x:v>
      </x:c>
      <x:c r="G219" s="24" t="n">
        <x:v>7476.402</x:v>
      </x:c>
      <x:c r="H219" s="24" t="n">
        <x:v>-78.4</x:v>
      </x:c>
      <x:c r="I219" s="25" t="n">
        <x:v>-0.010378946507345721</x:v>
      </x:c>
      <x:c r="J219" s="29" t="n">
        <x:f>ROUND(E219-F219,1)</x:f>
        <x:v>272.8</x:v>
      </x:c>
      <x:c r="K219" s="23" t="str">
        <x:v>中证1000</x:v>
      </x:c>
    </x:row>
    <x:row r="220">
      <x:c r="A220" s="33" t="n">
        <x:v>15</x:v>
      </x:c>
      <x:c r="B220" s="33" t="str">
        <x:v>周五</x:v>
      </x:c>
      <x:c r="C220" s="33" t="str">
        <x:v>9月19日</x:v>
      </x:c>
      <x:c r="D220" s="34" t="n">
        <x:v>7473.022</x:v>
      </x:c>
      <x:c r="E220" s="34" t="n">
        <x:v>7520.919</x:v>
      </x:c>
      <x:c r="F220" s="34" t="n">
        <x:v>7405.291</x:v>
      </x:c>
      <x:c r="G220" s="34" t="n">
        <x:v>7438.189</x:v>
      </x:c>
      <x:c r="H220" s="34" t="n">
        <x:v>-38.2</x:v>
      </x:c>
      <x:c r="I220" s="35" t="n">
        <x:v>-0.005111148383941888</x:v>
      </x:c>
      <x:c r="J220" s="34" t="n">
        <x:f>ROUND(E220-F220,1)</x:f>
        <x:v>115.6</x:v>
      </x:c>
      <x:c r="K220" s="33" t="str">
        <x:v>中证1000</x:v>
      </x:c>
    </x:row>
    <x:row r="221">
      <x:c r="A221" s="23" t="n">
        <x:v>16</x:v>
      </x:c>
      <x:c r="B221" s="23" t="str">
        <x:v>周一</x:v>
      </x:c>
      <x:c r="C221" s="23" t="str">
        <x:v>9月22日</x:v>
      </x:c>
      <x:c r="D221" s="24" t="n">
        <x:v>7457.886</x:v>
      </x:c>
      <x:c r="E221" s="24" t="n">
        <x:v>7489.478</x:v>
      </x:c>
      <x:c r="F221" s="24" t="n">
        <x:v>7418.465</x:v>
      </x:c>
      <x:c r="G221" s="24" t="n">
        <x:v>7489.478</x:v>
      </x:c>
      <x:c r="H221" s="24" t="n">
        <x:v>51.3</x:v>
      </x:c>
      <x:c r="I221" s="25" t="n">
        <x:v>0.006895361223007379</x:v>
      </x:c>
      <x:c r="J221" s="24" t="n">
        <x:f>ROUND(E221-F221,1)</x:f>
        <x:v>71</x:v>
      </x:c>
      <x:c r="K221" s="23" t="str">
        <x:v>中证1000</x:v>
      </x:c>
    </x:row>
    <x:row r="222">
      <x:c r="A222" s="23" t="n">
        <x:v>17</x:v>
      </x:c>
      <x:c r="B222" s="23" t="str">
        <x:v>周二</x:v>
      </x:c>
      <x:c r="C222" s="23" t="str">
        <x:v>9月23日</x:v>
      </x:c>
      <x:c r="D222" s="24" t="n">
        <x:v>7500.618</x:v>
      </x:c>
      <x:c r="E222" s="24" t="n">
        <x:v>7504.231</x:v>
      </x:c>
      <x:c r="F222" s="24" t="n">
        <x:v>7261.666</x:v>
      </x:c>
      <x:c r="G222" s="24" t="n">
        <x:v>7408.069</x:v>
      </x:c>
      <x:c r="H222" s="24" t="n">
        <x:v>-81.4</x:v>
      </x:c>
      <x:c r="I222" s="25" t="n">
        <x:v>-0.01086978291410956</x:v>
      </x:c>
      <x:c r="J222" s="29" t="n">
        <x:f>ROUND(E222-F222,1)</x:f>
        <x:v>242.6</x:v>
      </x:c>
      <x:c r="K222" s="23" t="str">
        <x:v>中证1000</x:v>
      </x:c>
    </x:row>
    <x:row r="223">
      <x:c r="A223" s="23" t="n">
        <x:v>18</x:v>
      </x:c>
      <x:c r="B223" s="23" t="str">
        <x:v>周三</x:v>
      </x:c>
      <x:c r="C223" s="23" t="str">
        <x:v>9月24日</x:v>
      </x:c>
      <x:c r="D223" s="24" t="n">
        <x:v>7375.911</x:v>
      </x:c>
      <x:c r="E223" s="24" t="n">
        <x:v>7534.222</x:v>
      </x:c>
      <x:c r="F223" s="24" t="n">
        <x:v>7342.47</x:v>
      </x:c>
      <x:c r="G223" s="24" t="n">
        <x:v>7534.222</x:v>
      </x:c>
      <x:c r="H223" s="24" t="n">
        <x:v>126.2</x:v>
      </x:c>
      <x:c r="I223" s="25" t="n">
        <x:v>0.01702913404289297</x:v>
      </x:c>
      <x:c r="J223" s="29" t="n">
        <x:f>ROUND(E223-F223,1)</x:f>
        <x:v>191.8</x:v>
      </x:c>
      <x:c r="K223" s="23" t="str">
        <x:v>中证1000</x:v>
      </x:c>
    </x:row>
    <x:row r="224">
      <x:c r="A224" s="23" t="n">
        <x:v>19</x:v>
      </x:c>
      <x:c r="B224" s="23" t="str">
        <x:v>周四</x:v>
      </x:c>
      <x:c r="C224" s="23" t="str">
        <x:v>9月25日</x:v>
      </x:c>
      <x:c r="D224" s="24" t="n">
        <x:v>7521.317</x:v>
      </x:c>
      <x:c r="E224" s="24" t="n">
        <x:v>7563.079</x:v>
      </x:c>
      <x:c r="F224" s="24" t="n">
        <x:v>7487.119</x:v>
      </x:c>
      <x:c r="G224" s="24" t="n">
        <x:v>7506.512</x:v>
      </x:c>
      <x:c r="H224" s="24" t="n">
        <x:v>-27.7</x:v>
      </x:c>
      <x:c r="I224" s="25" t="n">
        <x:v>-0.003677884723863989</x:v>
      </x:c>
      <x:c r="J224" s="24" t="n">
        <x:f>ROUND(E224-F224,1)</x:f>
        <x:v>76</x:v>
      </x:c>
      <x:c r="K224" s="23" t="str">
        <x:v>中证1000</x:v>
      </x:c>
    </x:row>
    <x:row r="225">
      <x:c r="A225" s="23" t="n">
        <x:v>20</x:v>
      </x:c>
      <x:c r="B225" s="23" t="str">
        <x:v>周五</x:v>
      </x:c>
      <x:c r="C225" s="23" t="str">
        <x:v>9月26日</x:v>
      </x:c>
      <x:c r="D225" s="24" t="n">
        <x:v>7476.937</x:v>
      </x:c>
      <x:c r="E225" s="24" t="n">
        <x:v>7516.111</x:v>
      </x:c>
      <x:c r="F225" s="24" t="n">
        <x:v>7396.585</x:v>
      </x:c>
      <x:c r="G225" s="24" t="n">
        <x:v>7397.589</x:v>
      </x:c>
      <x:c r="H225" s="24" t="n">
        <x:v>-108.9</x:v>
      </x:c>
      <x:c r="I225" s="25" t="n">
        <x:v>-0.014510467711235209</x:v>
      </x:c>
      <x:c r="J225" s="24" t="n">
        <x:f>ROUND(E225-F225,1)</x:f>
        <x:v>119.5</x:v>
      </x:c>
      <x:c r="K225" s="23" t="str">
        <x:v>中证1000</x:v>
      </x:c>
    </x:row>
    <x:row r="226">
      <x:c r="A226" s="23" t="n">
        <x:v>21</x:v>
      </x:c>
      <x:c r="B226" s="23" t="str">
        <x:v>周一</x:v>
      </x:c>
      <x:c r="C226" s="23" t="str">
        <x:v>9月29日</x:v>
      </x:c>
      <x:c r="D226" s="24" t="n">
        <x:v>7415.128</x:v>
      </x:c>
      <x:c r="E226" s="24" t="n">
        <x:v>7517.118</x:v>
      </x:c>
      <x:c r="F226" s="24" t="n">
        <x:v>7376.909</x:v>
      </x:c>
      <x:c r="G226" s="24" t="n">
        <x:v>7497.831</x:v>
      </x:c>
      <x:c r="H226" s="24" t="n">
        <x:v>100.2</x:v>
      </x:c>
      <x:c r="I226" s="25" t="n">
        <x:v>0.013550631158340876</x:v>
      </x:c>
      <x:c r="J226" s="24" t="n">
        <x:f>ROUND(E226-F226,1)</x:f>
        <x:v>140.2</x:v>
      </x:c>
      <x:c r="K226" s="23" t="str">
        <x:v>中证1000</x:v>
      </x:c>
    </x:row>
    <x:row r="227">
      <x:c r="A227" s="23" t="n">
        <x:v>22</x:v>
      </x:c>
      <x:c r="B227" s="23" t="str">
        <x:v>周二</x:v>
      </x:c>
      <x:c r="C227" s="23" t="str">
        <x:v>9月30日</x:v>
      </x:c>
      <x:c r="D227" s="24" t="n">
        <x:v>7525.624</x:v>
      </x:c>
      <x:c r="E227" s="24" t="n">
        <x:v>7592.914</x:v>
      </x:c>
      <x:c r="F227" s="24" t="n">
        <x:v>7524.915</x:v>
      </x:c>
      <x:c r="G227" s="24" t="n">
        <x:v>7574.963</x:v>
      </x:c>
      <x:c r="H227" s="24" t="n">
        <x:v>77.1</x:v>
      </x:c>
      <x:c r="I227" s="25" t="n">
        <x:v>0.010287241736977037</x:v>
      </x:c>
      <x:c r="J227" s="24" t="n">
        <x:f>ROUND(E227-F227,1)</x:f>
        <x:v>68</x:v>
      </x:c>
      <x:c r="K227" s="23" t="str">
        <x:v>中证1000</x:v>
      </x:c>
    </x:row>
    <x:row r="228">
      <x:c r="A228" s="38" t="str">
        <x:v>合计</x:v>
      </x:c>
      <x:c r="B228" s="37" t="n">
        <x:v>22</x:v>
      </x:c>
      <x:c r="C228" s="37"/>
      <x:c r="D228" s="37"/>
      <x:c r="E228" s="37"/>
      <x:c r="F228" s="37"/>
      <x:c r="G228" s="37"/>
      <x:c r="H228" s="37"/>
      <x:c r="I228" s="37"/>
      <x:c r="J228" s="39" t="n">
        <x:f>ROUND(SUM(J206:J227),1)</x:f>
        <x:v>3275.2</x:v>
      </x:c>
      <x:c r="K228" s="37"/>
    </x:row>
    <x:row r="229">
      <x:c r="A229" s="38" t="str">
        <x:v>均值</x:v>
      </x:c>
      <x:c r="B229" s="37"/>
      <x:c r="C229" s="37"/>
      <x:c r="D229" s="37"/>
      <x:c r="E229" s="37"/>
      <x:c r="F229" s="37"/>
      <x:c r="G229" s="37"/>
      <x:c r="H229" s="37"/>
      <x:c r="I229" s="37"/>
      <x:c r="J229" s="41" t="n">
        <x:f>ROUND(IFERROR(AVERAGE(J206:J227),0),1)</x:f>
        <x:v>148.9</x:v>
      </x:c>
      <x:c r="K229" s="37"/>
    </x:row>
    <x:row r="231">
      <x:c r="A231" s="17" t="str">
        <x:v>10月</x:v>
      </x:c>
      <x:c r="B231" s="17"/>
      <x:c r="C231" s="17"/>
      <x:c r="D231" s="17"/>
      <x:c r="E231" s="17"/>
      <x:c r="F231" s="17"/>
      <x:c r="G231" s="17"/>
      <x:c r="H231" s="17"/>
      <x:c r="I231" s="17"/>
      <x:c r="J231" s="17"/>
      <x:c r="K231" s="17"/>
    </x:row>
    <x:row r="232">
      <x:c r="A232" s="20" t="str">
        <x:v>序号</x:v>
      </x:c>
      <x:c r="B232" s="20" t="str">
        <x:v>星期</x:v>
      </x:c>
      <x:c r="C232" s="20" t="str">
        <x:v>日期</x:v>
      </x:c>
      <x:c r="D232" s="20" t="str">
        <x:v>开盘</x:v>
      </x:c>
      <x:c r="E232" s="20" t="str">
        <x:v>高点</x:v>
      </x:c>
      <x:c r="F232" s="20" t="str">
        <x:v>低点</x:v>
      </x:c>
      <x:c r="G232" s="20" t="str">
        <x:v>收盘</x:v>
      </x:c>
      <x:c r="H232" s="20" t="str">
        <x:v>涨跌点数</x:v>
      </x:c>
      <x:c r="I232" s="20" t="str">
        <x:v>涨幅</x:v>
      </x:c>
      <x:c r="J232" s="20" t="str">
        <x:v>振幅</x:v>
      </x:c>
      <x:c r="K232" s="20" t="str">
        <x:v>标的</x:v>
      </x:c>
    </x:row>
    <x:row r="233">
      <x:c r="A233" s="23" t="n">
        <x:v>1</x:v>
      </x:c>
      <x:c r="B233" s="23" t="str">
        <x:v>周四</x:v>
      </x:c>
      <x:c r="C233" s="23" t="str">
        <x:v>10月9日</x:v>
      </x:c>
      <x:c r="D233" s="24" t="n">
        <x:v>7623.299</x:v>
      </x:c>
      <x:c r="E233" s="24" t="n">
        <x:v>7671.171</x:v>
      </x:c>
      <x:c r="F233" s="24" t="n">
        <x:v>7590.473</x:v>
      </x:c>
      <x:c r="G233" s="24" t="n">
        <x:v>7648.052</x:v>
      </x:c>
      <x:c r="H233" s="24" t="n">
        <x:v>73.1</x:v>
      </x:c>
      <x:c r="I233" s="25" t="n">
        <x:v>0.009648760000543932</x:v>
      </x:c>
      <x:c r="J233" s="24" t="n">
        <x:f>ROUND(E233-F233,1)</x:f>
        <x:v>80.7</x:v>
      </x:c>
      <x:c r="K233" s="23" t="str">
        <x:v>中证1000</x:v>
      </x:c>
    </x:row>
    <x:row r="234">
      <x:c r="A234" s="23" t="n">
        <x:v>2</x:v>
      </x:c>
      <x:c r="B234" s="23" t="str">
        <x:v>周五</x:v>
      </x:c>
      <x:c r="C234" s="23" t="str">
        <x:v>10月10日</x:v>
      </x:c>
      <x:c r="D234" s="24" t="n">
        <x:v>7608.292</x:v>
      </x:c>
      <x:c r="E234" s="24" t="n">
        <x:v>7621.976</x:v>
      </x:c>
      <x:c r="F234" s="24" t="n">
        <x:v>7513.166</x:v>
      </x:c>
      <x:c r="G234" s="24" t="n">
        <x:v>7533.82</x:v>
      </x:c>
      <x:c r="H234" s="24" t="n">
        <x:v>-114.2</x:v>
      </x:c>
      <x:c r="I234" s="25" t="n">
        <x:v>-0.014936090915699807</x:v>
      </x:c>
      <x:c r="J234" s="24" t="n">
        <x:f>ROUND(E234-F234,1)</x:f>
        <x:v>108.8</x:v>
      </x:c>
      <x:c r="K234" s="23" t="str">
        <x:v>中证1000</x:v>
      </x:c>
    </x:row>
    <x:row r="235">
      <x:c r="A235" s="23" t="n">
        <x:v>3</x:v>
      </x:c>
      <x:c r="B235" s="23" t="str">
        <x:v>周一</x:v>
      </x:c>
      <x:c r="C235" s="23" t="str">
        <x:v>10月13日</x:v>
      </x:c>
      <x:c r="D235" s="24" t="n">
        <x:v>7250.579</x:v>
      </x:c>
      <x:c r="E235" s="24" t="n">
        <x:v>7535.207</x:v>
      </x:c>
      <x:c r="F235" s="24" t="n">
        <x:v>7250.579</x:v>
      </x:c>
      <x:c r="G235" s="24" t="n">
        <x:v>7519.764</x:v>
      </x:c>
      <x:c r="H235" s="24" t="n">
        <x:v>-14.1</x:v>
      </x:c>
      <x:c r="I235" s="25" t="n">
        <x:v>-0.0018657201791387745</x:v>
      </x:c>
      <x:c r="J235" s="29" t="n">
        <x:f>ROUND(E235-F235,1)</x:f>
        <x:v>284.6</x:v>
      </x:c>
      <x:c r="K235" s="23" t="str">
        <x:v>中证1000</x:v>
      </x:c>
    </x:row>
    <x:row r="236">
      <x:c r="A236" s="23" t="n">
        <x:v>4</x:v>
      </x:c>
      <x:c r="B236" s="23" t="str">
        <x:v>周二</x:v>
      </x:c>
      <x:c r="C236" s="23" t="str">
        <x:v>10月14日</x:v>
      </x:c>
      <x:c r="D236" s="24" t="n">
        <x:v>7580.393</x:v>
      </x:c>
      <x:c r="E236" s="24" t="n">
        <x:v>7611.826</x:v>
      </x:c>
      <x:c r="F236" s="24" t="n">
        <x:v>7342.6</x:v>
      </x:c>
      <x:c r="G236" s="24" t="n">
        <x:v>7373.152</x:v>
      </x:c>
      <x:c r="H236" s="24" t="n">
        <x:v>-146.6</x:v>
      </x:c>
      <x:c r="I236" s="25" t="n">
        <x:v>-0.019496888466180584</x:v>
      </x:c>
      <x:c r="J236" s="29" t="n">
        <x:f>ROUND(E236-F236,1)</x:f>
        <x:v>269.2</x:v>
      </x:c>
      <x:c r="K236" s="23" t="str">
        <x:v>中证1000</x:v>
      </x:c>
    </x:row>
    <x:row r="237">
      <x:c r="A237" s="23" t="n">
        <x:v>5</x:v>
      </x:c>
      <x:c r="B237" s="23" t="str">
        <x:v>周三</x:v>
      </x:c>
      <x:c r="C237" s="23" t="str">
        <x:v>10月15日</x:v>
      </x:c>
      <x:c r="D237" s="24" t="n">
        <x:v>7384.011</x:v>
      </x:c>
      <x:c r="E237" s="24" t="n">
        <x:v>7484.049</x:v>
      </x:c>
      <x:c r="F237" s="24" t="n">
        <x:v>7315.483</x:v>
      </x:c>
      <x:c r="G237" s="24" t="n">
        <x:v>7483.449</x:v>
      </x:c>
      <x:c r="H237" s="24" t="n">
        <x:v>110.3</x:v>
      </x:c>
      <x:c r="I237" s="25" t="n">
        <x:v>0.014959273862793054</x:v>
      </x:c>
      <x:c r="J237" s="24" t="n">
        <x:f>ROUND(E237-F237,1)</x:f>
        <x:v>168.6</x:v>
      </x:c>
      <x:c r="K237" s="23" t="str">
        <x:v>中证1000</x:v>
      </x:c>
    </x:row>
    <x:row r="238">
      <x:c r="A238" s="23" t="n">
        <x:v>6</x:v>
      </x:c>
      <x:c r="B238" s="23" t="str">
        <x:v>周四</x:v>
      </x:c>
      <x:c r="C238" s="23" t="str">
        <x:v>10月16日</x:v>
      </x:c>
      <x:c r="D238" s="24" t="n">
        <x:v>7460.763</x:v>
      </x:c>
      <x:c r="E238" s="24" t="n">
        <x:v>7472.755</x:v>
      </x:c>
      <x:c r="F238" s="24" t="n">
        <x:v>7378.297</x:v>
      </x:c>
      <x:c r="G238" s="24" t="n">
        <x:v>7401.838</x:v>
      </x:c>
      <x:c r="H238" s="24" t="n">
        <x:v>-81.6</x:v>
      </x:c>
      <x:c r="I238" s="25" t="n">
        <x:v>-0.010905532996884126</x:v>
      </x:c>
      <x:c r="J238" s="24" t="n">
        <x:f>ROUND(E238-F238,1)</x:f>
        <x:v>94.5</x:v>
      </x:c>
      <x:c r="K238" s="23" t="str">
        <x:v>中证1000</x:v>
      </x:c>
    </x:row>
    <x:row r="239">
      <x:c r="A239" s="33" t="n">
        <x:v>7</x:v>
      </x:c>
      <x:c r="B239" s="33" t="str">
        <x:v>周五</x:v>
      </x:c>
      <x:c r="C239" s="33" t="str">
        <x:v>10月17日</x:v>
      </x:c>
      <x:c r="D239" s="34" t="n">
        <x:v>7395.866</x:v>
      </x:c>
      <x:c r="E239" s="34" t="n">
        <x:v>7426.21</x:v>
      </x:c>
      <x:c r="F239" s="34" t="n">
        <x:v>7176.959</x:v>
      </x:c>
      <x:c r="G239" s="34" t="n">
        <x:v>7185.478</x:v>
      </x:c>
      <x:c r="H239" s="27" t="n">
        <x:v>-216.4</x:v>
      </x:c>
      <x:c r="I239" s="35" t="n">
        <x:v>-0.02923057759437586</x:v>
      </x:c>
      <x:c r="J239" s="29" t="n">
        <x:f>ROUND(E239-F239,1)</x:f>
        <x:v>249.3</x:v>
      </x:c>
      <x:c r="K239" s="33" t="str">
        <x:v>中证1000</x:v>
      </x:c>
    </x:row>
    <x:row r="240">
      <x:c r="A240" s="23" t="n">
        <x:v>8</x:v>
      </x:c>
      <x:c r="B240" s="23" t="str">
        <x:v>周一</x:v>
      </x:c>
      <x:c r="C240" s="23" t="str">
        <x:v>10月20日</x:v>
      </x:c>
      <x:c r="D240" s="24" t="n">
        <x:v>7259.486</x:v>
      </x:c>
      <x:c r="E240" s="24" t="n">
        <x:v>7301.988</x:v>
      </x:c>
      <x:c r="F240" s="24" t="n">
        <x:v>7196.28</x:v>
      </x:c>
      <x:c r="G240" s="24" t="n">
        <x:v>7239.185</x:v>
      </x:c>
      <x:c r="H240" s="24" t="n">
        <x:v>53.7</x:v>
      </x:c>
      <x:c r="I240" s="25" t="n">
        <x:v>0.0074743809667221495</x:v>
      </x:c>
      <x:c r="J240" s="24" t="n">
        <x:f>ROUND(E240-F240,1)</x:f>
        <x:v>105.7</x:v>
      </x:c>
      <x:c r="K240" s="23" t="str">
        <x:v>中证1000</x:v>
      </x:c>
    </x:row>
    <x:row r="241">
      <x:c r="A241" s="23" t="n">
        <x:v>9</x:v>
      </x:c>
      <x:c r="B241" s="23" t="str">
        <x:v>周二</x:v>
      </x:c>
      <x:c r="C241" s="23" t="str">
        <x:v>10月21日</x:v>
      </x:c>
      <x:c r="D241" s="24" t="n">
        <x:v>7257.112</x:v>
      </x:c>
      <x:c r="E241" s="24" t="n">
        <x:v>7350.923</x:v>
      </x:c>
      <x:c r="F241" s="24" t="n">
        <x:v>7236.634</x:v>
      </x:c>
      <x:c r="G241" s="24" t="n">
        <x:v>7344.047</x:v>
      </x:c>
      <x:c r="H241" s="24" t="n">
        <x:v>104.9</x:v>
      </x:c>
      <x:c r="I241" s="25" t="n">
        <x:v>0.014485332257705652</x:v>
      </x:c>
      <x:c r="J241" s="24" t="n">
        <x:f>ROUND(E241-F241,1)</x:f>
        <x:v>114.3</x:v>
      </x:c>
      <x:c r="K241" s="23" t="str">
        <x:v>中证1000</x:v>
      </x:c>
    </x:row>
    <x:row r="242">
      <x:c r="A242" s="23" t="n">
        <x:v>10</x:v>
      </x:c>
      <x:c r="B242" s="23" t="str">
        <x:v>周三</x:v>
      </x:c>
      <x:c r="C242" s="23" t="str">
        <x:v>10月22日</x:v>
      </x:c>
      <x:c r="D242" s="24" t="n">
        <x:v>7304.964</x:v>
      </x:c>
      <x:c r="E242" s="24" t="n">
        <x:v>7349.797</x:v>
      </x:c>
      <x:c r="F242" s="24" t="n">
        <x:v>7278.713</x:v>
      </x:c>
      <x:c r="G242" s="24" t="n">
        <x:v>7312.21</x:v>
      </x:c>
      <x:c r="H242" s="24" t="n">
        <x:v>-31.8</x:v>
      </x:c>
      <x:c r="I242" s="25" t="n">
        <x:v>-0.004335075742298411</x:v>
      </x:c>
      <x:c r="J242" s="24" t="n">
        <x:f>ROUND(E242-F242,1)</x:f>
        <x:v>71.1</x:v>
      </x:c>
      <x:c r="K242" s="23" t="str">
        <x:v>中证1000</x:v>
      </x:c>
    </x:row>
    <x:row r="243">
      <x:c r="A243" s="23" t="n">
        <x:v>11</x:v>
      </x:c>
      <x:c r="B243" s="23" t="str">
        <x:v>周四</x:v>
      </x:c>
      <x:c r="C243" s="23" t="str">
        <x:v>10月23日</x:v>
      </x:c>
      <x:c r="D243" s="24" t="n">
        <x:v>7292.39</x:v>
      </x:c>
      <x:c r="E243" s="24" t="n">
        <x:v>7319.55</x:v>
      </x:c>
      <x:c r="F243" s="24" t="n">
        <x:v>7192.416</x:v>
      </x:c>
      <x:c r="G243" s="24" t="n">
        <x:v>7308.099</x:v>
      </x:c>
      <x:c r="H243" s="24" t="n">
        <x:v>-4.1</x:v>
      </x:c>
      <x:c r="I243" s="25" t="n">
        <x:v>-0.0005622103303926096</x:v>
      </x:c>
      <x:c r="J243" s="24" t="n">
        <x:f>ROUND(E243-F243,1)</x:f>
        <x:v>127.1</x:v>
      </x:c>
      <x:c r="K243" s="23" t="str">
        <x:v>中证1000</x:v>
      </x:c>
    </x:row>
    <x:row r="244">
      <x:c r="A244" s="23" t="n">
        <x:v>12</x:v>
      </x:c>
      <x:c r="B244" s="23" t="str">
        <x:v>周五</x:v>
      </x:c>
      <x:c r="C244" s="23" t="str">
        <x:v>10月24日</x:v>
      </x:c>
      <x:c r="D244" s="24" t="n">
        <x:v>7340.669</x:v>
      </x:c>
      <x:c r="E244" s="24" t="n">
        <x:v>7419.407</x:v>
      </x:c>
      <x:c r="F244" s="24" t="n">
        <x:v>7340.669</x:v>
      </x:c>
      <x:c r="G244" s="24" t="n">
        <x:v>7419.235</x:v>
      </x:c>
      <x:c r="H244" s="24" t="n">
        <x:v>111.1</x:v>
      </x:c>
      <x:c r="I244" s="25" t="n">
        <x:v>0.015207237887718827</x:v>
      </x:c>
      <x:c r="J244" s="24" t="n">
        <x:f>ROUND(E244-F244,1)</x:f>
        <x:v>78.7</x:v>
      </x:c>
      <x:c r="K244" s="23" t="str">
        <x:v>中证1000</x:v>
      </x:c>
    </x:row>
    <x:row r="245">
      <x:c r="A245" s="23" t="n">
        <x:v>13</x:v>
      </x:c>
      <x:c r="B245" s="23" t="str">
        <x:v>周一</x:v>
      </x:c>
      <x:c r="C245" s="23" t="str">
        <x:v>10月27日</x:v>
      </x:c>
      <x:c r="D245" s="24" t="n">
        <x:v>7483.295</x:v>
      </x:c>
      <x:c r="E245" s="24" t="n">
        <x:v>7511.414</x:v>
      </x:c>
      <x:c r="F245" s="24" t="n">
        <x:v>7430.62</x:v>
      </x:c>
      <x:c r="G245" s="24" t="n">
        <x:v>7495.383</x:v>
      </x:c>
      <x:c r="H245" s="24" t="n">
        <x:v>76.1</x:v>
      </x:c>
      <x:c r="I245" s="25" t="n">
        <x:v>0.010263591866277233</x:v>
      </x:c>
      <x:c r="J245" s="24" t="n">
        <x:f>ROUND(E245-F245,1)</x:f>
        <x:v>80.8</x:v>
      </x:c>
      <x:c r="K245" s="23" t="str">
        <x:v>中证1000</x:v>
      </x:c>
    </x:row>
    <x:row r="246">
      <x:c r="A246" s="23" t="n">
        <x:v>14</x:v>
      </x:c>
      <x:c r="B246" s="23" t="str">
        <x:v>周二</x:v>
      </x:c>
      <x:c r="C246" s="23" t="str">
        <x:v>10月28日</x:v>
      </x:c>
      <x:c r="D246" s="24" t="n">
        <x:v>7462.911</x:v>
      </x:c>
      <x:c r="E246" s="24" t="n">
        <x:v>7534.051</x:v>
      </x:c>
      <x:c r="F246" s="24" t="n">
        <x:v>7443.701</x:v>
      </x:c>
      <x:c r="G246" s="24" t="n">
        <x:v>7479.221</x:v>
      </x:c>
      <x:c r="H246" s="24" t="n">
        <x:v>-16.2</x:v>
      </x:c>
      <x:c r="I246" s="25" t="n">
        <x:v>-0.0021562607274371315</x:v>
      </x:c>
      <x:c r="J246" s="24" t="n">
        <x:f>ROUND(E246-F246,1)</x:f>
        <x:v>90.4</x:v>
      </x:c>
      <x:c r="K246" s="23" t="str">
        <x:v>中证1000</x:v>
      </x:c>
    </x:row>
    <x:row r="247">
      <x:c r="A247" s="23" t="n">
        <x:v>15</x:v>
      </x:c>
      <x:c r="B247" s="23" t="str">
        <x:v>周三</x:v>
      </x:c>
      <x:c r="C247" s="23" t="str">
        <x:v>10月29日</x:v>
      </x:c>
      <x:c r="D247" s="24" t="n">
        <x:v>7481.237</x:v>
      </x:c>
      <x:c r="E247" s="24" t="n">
        <x:v>7569.117</x:v>
      </x:c>
      <x:c r="F247" s="24" t="n">
        <x:v>7469.07</x:v>
      </x:c>
      <x:c r="G247" s="24" t="n">
        <x:v>7569.117</x:v>
      </x:c>
      <x:c r="H247" s="24" t="n">
        <x:v>89.9</x:v>
      </x:c>
      <x:c r="I247" s="25" t="n">
        <x:v>0.012019433574699923</x:v>
      </x:c>
      <x:c r="J247" s="24" t="n">
        <x:f>ROUND(E247-F247,1)</x:f>
        <x:v>100</x:v>
      </x:c>
      <x:c r="K247" s="23" t="str">
        <x:v>中证1000</x:v>
      </x:c>
    </x:row>
    <x:row r="248">
      <x:c r="A248" s="23" t="n">
        <x:v>16</x:v>
      </x:c>
      <x:c r="B248" s="23" t="str">
        <x:v>周四</x:v>
      </x:c>
      <x:c r="C248" s="23" t="str">
        <x:v>10月30日</x:v>
      </x:c>
      <x:c r="D248" s="24" t="n">
        <x:v>7560.6</x:v>
      </x:c>
      <x:c r="E248" s="24" t="n">
        <x:v>7569.156</x:v>
      </x:c>
      <x:c r="F248" s="24" t="n">
        <x:v>7476.701</x:v>
      </x:c>
      <x:c r="G248" s="24" t="n">
        <x:v>7485.085</x:v>
      </x:c>
      <x:c r="H248" s="24" t="n">
        <x:v>-84</x:v>
      </x:c>
      <x:c r="I248" s="25" t="n">
        <x:v>-0.011101955485692705</x:v>
      </x:c>
      <x:c r="J248" s="24" t="n">
        <x:f>ROUND(E248-F248,1)</x:f>
        <x:v>92.5</x:v>
      </x:c>
      <x:c r="K248" s="23" t="str">
        <x:v>中证1000</x:v>
      </x:c>
    </x:row>
    <x:row r="249">
      <x:c r="A249" s="23" t="n">
        <x:v>17</x:v>
      </x:c>
      <x:c r="B249" s="23" t="str">
        <x:v>周五</x:v>
      </x:c>
      <x:c r="C249" s="23" t="str">
        <x:v>10月31日</x:v>
      </x:c>
      <x:c r="D249" s="24" t="n">
        <x:v>7480.658</x:v>
      </x:c>
      <x:c r="E249" s="24" t="n">
        <x:v>7583.033</x:v>
      </x:c>
      <x:c r="F249" s="24" t="n">
        <x:v>7480.658</x:v>
      </x:c>
      <x:c r="G249" s="24" t="n">
        <x:v>7506.675</x:v>
      </x:c>
      <x:c r="H249" s="24" t="n">
        <x:v>21.6</x:v>
      </x:c>
      <x:c r="I249" s="25" t="n">
        <x:v>0.002884402782333151</x:v>
      </x:c>
      <x:c r="J249" s="24" t="n">
        <x:f>ROUND(E249-F249,1)</x:f>
        <x:v>102.4</x:v>
      </x:c>
      <x:c r="K249" s="23" t="str">
        <x:v>中证1000</x:v>
      </x:c>
    </x:row>
    <x:row r="250">
      <x:c r="A250" s="38" t="str">
        <x:v>合计</x:v>
      </x:c>
      <x:c r="B250" s="37" t="n">
        <x:v>17</x:v>
      </x:c>
      <x:c r="C250" s="37"/>
      <x:c r="D250" s="37"/>
      <x:c r="E250" s="37"/>
      <x:c r="F250" s="37"/>
      <x:c r="G250" s="37"/>
      <x:c r="H250" s="37"/>
      <x:c r="I250" s="37"/>
      <x:c r="J250" s="39" t="n">
        <x:f>ROUND(SUM(J233:J249),1)</x:f>
        <x:v>2218.7</x:v>
      </x:c>
      <x:c r="K250" s="37"/>
    </x:row>
    <x:row r="251">
      <x:c r="A251" s="38" t="str">
        <x:v>均值</x:v>
      </x:c>
      <x:c r="B251" s="37"/>
      <x:c r="C251" s="37"/>
      <x:c r="D251" s="37"/>
      <x:c r="E251" s="37"/>
      <x:c r="F251" s="37"/>
      <x:c r="G251" s="37"/>
      <x:c r="H251" s="37"/>
      <x:c r="I251" s="37"/>
      <x:c r="J251" s="41" t="n">
        <x:f>ROUND(IFERROR(AVERAGE(J233:J249),0),1)</x:f>
        <x:v>130.5</x:v>
      </x:c>
      <x:c r="K251" s="37"/>
    </x:row>
    <x:row r="253">
      <x:c r="A253" s="17" t="str">
        <x:v>11月</x:v>
      </x:c>
      <x:c r="B253" s="17"/>
      <x:c r="C253" s="17"/>
      <x:c r="D253" s="17"/>
      <x:c r="E253" s="17"/>
      <x:c r="F253" s="17"/>
      <x:c r="G253" s="17"/>
      <x:c r="H253" s="17"/>
      <x:c r="I253" s="17"/>
      <x:c r="J253" s="17"/>
      <x:c r="K253" s="17"/>
    </x:row>
    <x:row r="254">
      <x:c r="A254" s="20" t="str">
        <x:v>序号</x:v>
      </x:c>
      <x:c r="B254" s="20" t="str">
        <x:v>星期</x:v>
      </x:c>
      <x:c r="C254" s="20" t="str">
        <x:v>日期</x:v>
      </x:c>
      <x:c r="D254" s="20" t="str">
        <x:v>开盘</x:v>
      </x:c>
      <x:c r="E254" s="20" t="str">
        <x:v>高点</x:v>
      </x:c>
      <x:c r="F254" s="20" t="str">
        <x:v>低点</x:v>
      </x:c>
      <x:c r="G254" s="20" t="str">
        <x:v>收盘</x:v>
      </x:c>
      <x:c r="H254" s="20" t="str">
        <x:v>涨跌点数</x:v>
      </x:c>
      <x:c r="I254" s="20" t="str">
        <x:v>涨幅</x:v>
      </x:c>
      <x:c r="J254" s="20" t="str">
        <x:v>振幅</x:v>
      </x:c>
      <x:c r="K254" s="20" t="str">
        <x:v>标的</x:v>
      </x:c>
    </x:row>
    <x:row r="255">
      <x:c r="A255" s="23" t="n">
        <x:v>1</x:v>
      </x:c>
      <x:c r="B255" s="23" t="str">
        <x:v>周一</x:v>
      </x:c>
      <x:c r="C255" s="23" t="str">
        <x:v>11月3日</x:v>
      </x:c>
      <x:c r="D255" s="24" t="n">
        <x:v>7507.374</x:v>
      </x:c>
      <x:c r="E255" s="24" t="n">
        <x:v>7539.327</x:v>
      </x:c>
      <x:c r="F255" s="24" t="n">
        <x:v>7417.273</x:v>
      </x:c>
      <x:c r="G255" s="24" t="n">
        <x:v>7538.118</x:v>
      </x:c>
      <x:c r="H255" s="24" t="n">
        <x:v>31.4</x:v>
      </x:c>
      <x:c r="I255" s="25" t="n">
        <x:v>0.004188672081847145</x:v>
      </x:c>
      <x:c r="J255" s="24" t="n">
        <x:f>ROUND(E255-F255,1)</x:f>
        <x:v>122.1</x:v>
      </x:c>
      <x:c r="K255" s="23" t="str">
        <x:v>中证1000</x:v>
      </x:c>
    </x:row>
    <x:row r="256">
      <x:c r="A256" s="23" t="n">
        <x:v>2</x:v>
      </x:c>
      <x:c r="B256" s="23" t="str">
        <x:v>周二</x:v>
      </x:c>
      <x:c r="C256" s="23" t="str">
        <x:v>11月4日</x:v>
      </x:c>
      <x:c r="D256" s="24" t="n">
        <x:v>7523.64</x:v>
      </x:c>
      <x:c r="E256" s="24" t="n">
        <x:v>7523.64</x:v>
      </x:c>
      <x:c r="F256" s="24" t="n">
        <x:v>7387.378</x:v>
      </x:c>
      <x:c r="G256" s="24" t="n">
        <x:v>7435.731</x:v>
      </x:c>
      <x:c r="H256" s="24" t="n">
        <x:v>-102.4</x:v>
      </x:c>
      <x:c r="I256" s="25" t="n">
        <x:v>-0.013582567956617386</x:v>
      </x:c>
      <x:c r="J256" s="24" t="n">
        <x:f>ROUND(E256-F256,1)</x:f>
        <x:v>136.3</x:v>
      </x:c>
      <x:c r="K256" s="23" t="str">
        <x:v>中证1000</x:v>
      </x:c>
    </x:row>
    <x:row r="257">
      <x:c r="A257" s="23" t="n">
        <x:v>3</x:v>
      </x:c>
      <x:c r="B257" s="23" t="str">
        <x:v>周三</x:v>
      </x:c>
      <x:c r="C257" s="23" t="str">
        <x:v>11月5日</x:v>
      </x:c>
      <x:c r="D257" s="24" t="n">
        <x:v>7332.104</x:v>
      </x:c>
      <x:c r="E257" s="24" t="n">
        <x:v>7490.904</x:v>
      </x:c>
      <x:c r="F257" s="24" t="n">
        <x:v>7332.104</x:v>
      </x:c>
      <x:c r="G257" s="24" t="n">
        <x:v>7464.863</x:v>
      </x:c>
      <x:c r="H257" s="24" t="n">
        <x:v>29.1</x:v>
      </x:c>
      <x:c r="I257" s="25" t="n">
        <x:v>0.003917839416192059</x:v>
      </x:c>
      <x:c r="J257" s="24" t="n">
        <x:f>ROUND(E257-F257,1)</x:f>
        <x:v>158.8</x:v>
      </x:c>
      <x:c r="K257" s="23" t="str">
        <x:v>中证1000</x:v>
      </x:c>
    </x:row>
    <x:row r="258">
      <x:c r="A258" s="23" t="n">
        <x:v>4</x:v>
      </x:c>
      <x:c r="B258" s="23" t="str">
        <x:v>周四</x:v>
      </x:c>
      <x:c r="C258" s="23" t="str">
        <x:v>11月6日</x:v>
      </x:c>
      <x:c r="D258" s="24" t="n">
        <x:v>7482.908</x:v>
      </x:c>
      <x:c r="E258" s="24" t="n">
        <x:v>7551.83</x:v>
      </x:c>
      <x:c r="F258" s="24" t="n">
        <x:v>7466.752</x:v>
      </x:c>
      <x:c r="G258" s="24" t="n">
        <x:v>7551.83</x:v>
      </x:c>
      <x:c r="H258" s="24" t="n">
        <x:v>87</x:v>
      </x:c>
      <x:c r="I258" s="25" t="n">
        <x:v>0.011650180318111714</x:v>
      </x:c>
      <x:c r="J258" s="24" t="n">
        <x:f>ROUND(E258-F258,1)</x:f>
        <x:v>85.1</x:v>
      </x:c>
      <x:c r="K258" s="23" t="str">
        <x:v>中证1000</x:v>
      </x:c>
    </x:row>
    <x:row r="259">
      <x:c r="A259" s="23" t="n">
        <x:v>5</x:v>
      </x:c>
      <x:c r="B259" s="23" t="str">
        <x:v>周五</x:v>
      </x:c>
      <x:c r="C259" s="23" t="str">
        <x:v>11月7日</x:v>
      </x:c>
      <x:c r="D259" s="24" t="n">
        <x:v>7519.748</x:v>
      </x:c>
      <x:c r="E259" s="24" t="n">
        <x:v>7581.56</x:v>
      </x:c>
      <x:c r="F259" s="24" t="n">
        <x:v>7492.926</x:v>
      </x:c>
      <x:c r="G259" s="24" t="n">
        <x:v>7541.878</x:v>
      </x:c>
      <x:c r="H259" s="24" t="n">
        <x:v>-10</x:v>
      </x:c>
      <x:c r="I259" s="25" t="n">
        <x:v>-0.0013178262752207015</x:v>
      </x:c>
      <x:c r="J259" s="24" t="n">
        <x:f>ROUND(E259-F259,1)</x:f>
        <x:v>88.6</x:v>
      </x:c>
      <x:c r="K259" s="23" t="str">
        <x:v>中证1000</x:v>
      </x:c>
    </x:row>
    <x:row r="260">
      <x:c r="A260" s="23" t="n">
        <x:v>6</x:v>
      </x:c>
      <x:c r="B260" s="23" t="str">
        <x:v>周一</x:v>
      </x:c>
      <x:c r="C260" s="23" t="str">
        <x:v>11月10日</x:v>
      </x:c>
      <x:c r="D260" s="24" t="n">
        <x:v>7568.751</x:v>
      </x:c>
      <x:c r="E260" s="24" t="n">
        <x:v>7592.757</x:v>
      </x:c>
      <x:c r="F260" s="24" t="n">
        <x:v>7515.684</x:v>
      </x:c>
      <x:c r="G260" s="24" t="n">
        <x:v>7563.254</x:v>
      </x:c>
      <x:c r="H260" s="24" t="n">
        <x:v>21.4</x:v>
      </x:c>
      <x:c r="I260" s="25" t="n">
        <x:v>0.0028343073170900013</x:v>
      </x:c>
      <x:c r="J260" s="24" t="n">
        <x:f>ROUND(E260-F260,1)</x:f>
        <x:v>77.1</x:v>
      </x:c>
      <x:c r="K260" s="23" t="str">
        <x:v>中证1000</x:v>
      </x:c>
    </x:row>
    <x:row r="261">
      <x:c r="A261" s="23" t="n">
        <x:v>7</x:v>
      </x:c>
      <x:c r="B261" s="23" t="str">
        <x:v>周二</x:v>
      </x:c>
      <x:c r="C261" s="23" t="str">
        <x:v>11月11日</x:v>
      </x:c>
      <x:c r="D261" s="24" t="n">
        <x:v>7579.908</x:v>
      </x:c>
      <x:c r="E261" s="24" t="n">
        <x:v>7598.988</x:v>
      </x:c>
      <x:c r="F261" s="24" t="n">
        <x:v>7530.144</x:v>
      </x:c>
      <x:c r="G261" s="24" t="n">
        <x:v>7540.791</x:v>
      </x:c>
      <x:c r="H261" s="24" t="n">
        <x:v>-22.5</x:v>
      </x:c>
      <x:c r="I261" s="25" t="n">
        <x:v>-0.0029700179314352537</x:v>
      </x:c>
      <x:c r="J261" s="24" t="n">
        <x:f>ROUND(E261-F261,1)</x:f>
        <x:v>68.8</x:v>
      </x:c>
      <x:c r="K261" s="23" t="str">
        <x:v>中证1000</x:v>
      </x:c>
    </x:row>
    <x:row r="262">
      <x:c r="A262" s="23" t="n">
        <x:v>8</x:v>
      </x:c>
      <x:c r="B262" s="23" t="str">
        <x:v>周三</x:v>
      </x:c>
      <x:c r="C262" s="23" t="str">
        <x:v>11月12日</x:v>
      </x:c>
      <x:c r="D262" s="24" t="n">
        <x:v>7520.179</x:v>
      </x:c>
      <x:c r="E262" s="24" t="n">
        <x:v>7537.761</x:v>
      </x:c>
      <x:c r="F262" s="24" t="n">
        <x:v>7421.459</x:v>
      </x:c>
      <x:c r="G262" s="24" t="n">
        <x:v>7486.377</x:v>
      </x:c>
      <x:c r="H262" s="24" t="n">
        <x:v>-54.4</x:v>
      </x:c>
      <x:c r="I262" s="25" t="n">
        <x:v>-0.0072159538700913295</x:v>
      </x:c>
      <x:c r="J262" s="24" t="n">
        <x:f>ROUND(E262-F262,1)</x:f>
        <x:v>116.3</x:v>
      </x:c>
      <x:c r="K262" s="23" t="str">
        <x:v>中证1000</x:v>
      </x:c>
    </x:row>
    <x:row r="263">
      <x:c r="A263" s="23" t="n">
        <x:v>9</x:v>
      </x:c>
      <x:c r="B263" s="23" t="str">
        <x:v>周四</x:v>
      </x:c>
      <x:c r="C263" s="23" t="str">
        <x:v>11月13日</x:v>
      </x:c>
      <x:c r="D263" s="24" t="n">
        <x:v>7483.664</x:v>
      </x:c>
      <x:c r="E263" s="24" t="n">
        <x:v>7604.891</x:v>
      </x:c>
      <x:c r="F263" s="24" t="n">
        <x:v>7475.511</x:v>
      </x:c>
      <x:c r="G263" s="24" t="n">
        <x:v>7590.576</x:v>
      </x:c>
      <x:c r="H263" s="24" t="n">
        <x:v>104.2</x:v>
      </x:c>
      <x:c r="I263" s="25" t="n">
        <x:v>0.013918481529850757</x:v>
      </x:c>
      <x:c r="J263" s="24" t="n">
        <x:f>ROUND(E263-F263,1)</x:f>
        <x:v>129.4</x:v>
      </x:c>
      <x:c r="K263" s="23" t="str">
        <x:v>中证1000</x:v>
      </x:c>
    </x:row>
    <x:row r="264">
      <x:c r="A264" s="23" t="n">
        <x:v>10</x:v>
      </x:c>
      <x:c r="B264" s="23" t="str">
        <x:v>周五</x:v>
      </x:c>
      <x:c r="C264" s="23" t="str">
        <x:v>11月14日</x:v>
      </x:c>
      <x:c r="D264" s="24" t="n">
        <x:v>7527.834</x:v>
      </x:c>
      <x:c r="E264" s="24" t="n">
        <x:v>7591.315</x:v>
      </x:c>
      <x:c r="F264" s="24" t="n">
        <x:v>7502.757</x:v>
      </x:c>
      <x:c r="G264" s="24" t="n">
        <x:v>7502.757</x:v>
      </x:c>
      <x:c r="H264" s="24" t="n">
        <x:v>-87.8</x:v>
      </x:c>
      <x:c r="I264" s="25" t="n">
        <x:v>-0.011569477731334321</x:v>
      </x:c>
      <x:c r="J264" s="24" t="n">
        <x:f>ROUND(E264-F264,1)</x:f>
        <x:v>88.6</x:v>
      </x:c>
      <x:c r="K264" s="23" t="str">
        <x:v>中证1000</x:v>
      </x:c>
    </x:row>
    <x:row r="265">
      <x:c r="A265" s="23" t="n">
        <x:v>11</x:v>
      </x:c>
      <x:c r="B265" s="23" t="str">
        <x:v>周一</x:v>
      </x:c>
      <x:c r="C265" s="23" t="str">
        <x:v>11月17日</x:v>
      </x:c>
      <x:c r="D265" s="24" t="n">
        <x:v>7514.84</x:v>
      </x:c>
      <x:c r="E265" s="24" t="n">
        <x:v>7544.723</x:v>
      </x:c>
      <x:c r="F265" s="24" t="n">
        <x:v>7487.808</x:v>
      </x:c>
      <x:c r="G265" s="24" t="n">
        <x:v>7523.076</x:v>
      </x:c>
      <x:c r="H265" s="24" t="n">
        <x:v>20.3</x:v>
      </x:c>
      <x:c r="I265" s="25" t="n">
        <x:v>0.0027082044640389658</x:v>
      </x:c>
      <x:c r="J265" s="24" t="n">
        <x:f>ROUND(E265-F265,1)</x:f>
        <x:v>56.9</x:v>
      </x:c>
      <x:c r="K265" s="23" t="str">
        <x:v>中证1000</x:v>
      </x:c>
    </x:row>
    <x:row r="266">
      <x:c r="A266" s="23" t="n">
        <x:v>12</x:v>
      </x:c>
      <x:c r="B266" s="23" t="str">
        <x:v>周二</x:v>
      </x:c>
      <x:c r="C266" s="23" t="str">
        <x:v>11月18日</x:v>
      </x:c>
      <x:c r="D266" s="24" t="n">
        <x:v>7508.531</x:v>
      </x:c>
      <x:c r="E266" s="24" t="n">
        <x:v>7521.656</x:v>
      </x:c>
      <x:c r="F266" s="24" t="n">
        <x:v>7412.276</x:v>
      </x:c>
      <x:c r="G266" s="24" t="n">
        <x:v>7448.101</x:v>
      </x:c>
      <x:c r="H266" s="24" t="n">
        <x:v>-75</x:v>
      </x:c>
      <x:c r="I266" s="25" t="n">
        <x:v>-0.009966003267812273</x:v>
      </x:c>
      <x:c r="J266" s="24" t="n">
        <x:f>ROUND(E266-F266,1)</x:f>
        <x:v>109.4</x:v>
      </x:c>
      <x:c r="K266" s="23" t="str">
        <x:v>中证1000</x:v>
      </x:c>
    </x:row>
    <x:row r="267">
      <x:c r="A267" s="23" t="n">
        <x:v>13</x:v>
      </x:c>
      <x:c r="B267" s="23" t="str">
        <x:v>周三</x:v>
      </x:c>
      <x:c r="C267" s="23" t="str">
        <x:v>11月19日</x:v>
      </x:c>
      <x:c r="D267" s="24" t="n">
        <x:v>7438.139</x:v>
      </x:c>
      <x:c r="E267" s="24" t="n">
        <x:v>7471.732</x:v>
      </x:c>
      <x:c r="F267" s="24" t="n">
        <x:v>7348.037</x:v>
      </x:c>
      <x:c r="G267" s="24" t="n">
        <x:v>7387.208</x:v>
      </x:c>
      <x:c r="H267" s="24" t="n">
        <x:v>-60.9</x:v>
      </x:c>
      <x:c r="I267" s="25" t="n">
        <x:v>-0.00817564101238688</x:v>
      </x:c>
      <x:c r="J267" s="24" t="n">
        <x:f>ROUND(E267-F267,1)</x:f>
        <x:v>123.7</x:v>
      </x:c>
      <x:c r="K267" s="23" t="str">
        <x:v>中证1000</x:v>
      </x:c>
    </x:row>
    <x:row r="268">
      <x:c r="A268" s="23" t="n">
        <x:v>14</x:v>
      </x:c>
      <x:c r="B268" s="23" t="str">
        <x:v>周四</x:v>
      </x:c>
      <x:c r="C268" s="23" t="str">
        <x:v>11月20日</x:v>
      </x:c>
      <x:c r="D268" s="24" t="n">
        <x:v>7429.7</x:v>
      </x:c>
      <x:c r="E268" s="24" t="n">
        <x:v>7439.044</x:v>
      </x:c>
      <x:c r="F268" s="24" t="n">
        <x:v>7332.321</x:v>
      </x:c>
      <x:c r="G268" s="24" t="n">
        <x:v>7340.412</x:v>
      </x:c>
      <x:c r="H268" s="24" t="n">
        <x:v>-46.8</x:v>
      </x:c>
      <x:c r="I268" s="25" t="n">
        <x:v>-0.006334734313694579</x:v>
      </x:c>
      <x:c r="J268" s="24" t="n">
        <x:f>ROUND(E268-F268,1)</x:f>
        <x:v>106.7</x:v>
      </x:c>
      <x:c r="K268" s="23" t="str">
        <x:v>中证1000</x:v>
      </x:c>
    </x:row>
    <x:row r="269">
      <x:c r="A269" s="33" t="n">
        <x:v>15</x:v>
      </x:c>
      <x:c r="B269" s="33" t="str">
        <x:v>周五</x:v>
      </x:c>
      <x:c r="C269" s="33" t="str">
        <x:v>11月21日</x:v>
      </x:c>
      <x:c r="D269" s="34" t="n">
        <x:v>7235.326</x:v>
      </x:c>
      <x:c r="E269" s="34" t="n">
        <x:v>7274.334</x:v>
      </x:c>
      <x:c r="F269" s="34" t="n">
        <x:v>7067.703</x:v>
      </x:c>
      <x:c r="G269" s="34" t="n">
        <x:v>7067.703</x:v>
      </x:c>
      <x:c r="H269" s="27" t="n">
        <x:v>-272.7</x:v>
      </x:c>
      <x:c r="I269" s="35" t="n">
        <x:v>-0.03715172935797062</x:v>
      </x:c>
      <x:c r="J269" s="29" t="n">
        <x:f>ROUND(E269-F269,1)</x:f>
        <x:v>206.6</x:v>
      </x:c>
      <x:c r="K269" s="33" t="str">
        <x:v>中证1000</x:v>
      </x:c>
    </x:row>
    <x:row r="270">
      <x:c r="A270" s="23" t="n">
        <x:v>16</x:v>
      </x:c>
      <x:c r="B270" s="23" t="str">
        <x:v>周一</x:v>
      </x:c>
      <x:c r="C270" s="23" t="str">
        <x:v>11月24日</x:v>
      </x:c>
      <x:c r="D270" s="24" t="n">
        <x:v>7105.642</x:v>
      </x:c>
      <x:c r="E270" s="24" t="n">
        <x:v>7190.723</x:v>
      </x:c>
      <x:c r="F270" s="24" t="n">
        <x:v>7064.598</x:v>
      </x:c>
      <x:c r="G270" s="24" t="n">
        <x:v>7156.409</x:v>
      </x:c>
      <x:c r="H270" s="24" t="n">
        <x:v>88.7</x:v>
      </x:c>
      <x:c r="I270" s="25" t="n">
        <x:v>0.012550895248427896</x:v>
      </x:c>
      <x:c r="J270" s="24" t="n">
        <x:f>ROUND(E270-F270,1)</x:f>
        <x:v>126.1</x:v>
      </x:c>
      <x:c r="K270" s="23" t="str">
        <x:v>中证1000</x:v>
      </x:c>
    </x:row>
    <x:row r="271">
      <x:c r="A271" s="23" t="n">
        <x:v>17</x:v>
      </x:c>
      <x:c r="B271" s="23" t="str">
        <x:v>周二</x:v>
      </x:c>
      <x:c r="C271" s="23" t="str">
        <x:v>11月25日</x:v>
      </x:c>
      <x:c r="D271" s="24" t="n">
        <x:v>7195.1</x:v>
      </x:c>
      <x:c r="E271" s="24" t="n">
        <x:v>7311.727</x:v>
      </x:c>
      <x:c r="F271" s="24" t="n">
        <x:v>7194.766</x:v>
      </x:c>
      <x:c r="G271" s="24" t="n">
        <x:v>7249.947</x:v>
      </x:c>
      <x:c r="H271" s="24" t="n">
        <x:v>93.5</x:v>
      </x:c>
      <x:c r="I271" s="25" t="n">
        <x:v>0.0130705218217686</x:v>
      </x:c>
      <x:c r="J271" s="24" t="n">
        <x:f>ROUND(E271-F271,1)</x:f>
        <x:v>117</x:v>
      </x:c>
      <x:c r="K271" s="23" t="str">
        <x:v>中证1000</x:v>
      </x:c>
    </x:row>
    <x:row r="272">
      <x:c r="A272" s="23" t="n">
        <x:v>18</x:v>
      </x:c>
      <x:c r="B272" s="23" t="str">
        <x:v>周三</x:v>
      </x:c>
      <x:c r="C272" s="23" t="str">
        <x:v>11月26日</x:v>
      </x:c>
      <x:c r="D272" s="24" t="n">
        <x:v>7236.655</x:v>
      </x:c>
      <x:c r="E272" s="24" t="n">
        <x:v>7307.199</x:v>
      </x:c>
      <x:c r="F272" s="24" t="n">
        <x:v>7225.087</x:v>
      </x:c>
      <x:c r="G272" s="24" t="n">
        <x:v>7248.449</x:v>
      </x:c>
      <x:c r="H272" s="24" t="n">
        <x:v>-1.5</x:v>
      </x:c>
      <x:c r="I272" s="25" t="n">
        <x:v>-0.00020662220013478727</x:v>
      </x:c>
      <x:c r="J272" s="24" t="n">
        <x:f>ROUND(E272-F272,1)</x:f>
        <x:v>82.1</x:v>
      </x:c>
      <x:c r="K272" s="23" t="str">
        <x:v>中证1000</x:v>
      </x:c>
    </x:row>
    <x:row r="273">
      <x:c r="A273" s="23" t="n">
        <x:v>19</x:v>
      </x:c>
      <x:c r="B273" s="23" t="str">
        <x:v>周四</x:v>
      </x:c>
      <x:c r="C273" s="23" t="str">
        <x:v>11月27日</x:v>
      </x:c>
      <x:c r="D273" s="24" t="n">
        <x:v>7243.714</x:v>
      </x:c>
      <x:c r="E273" s="24" t="n">
        <x:v>7330.6</x:v>
      </x:c>
      <x:c r="F273" s="24" t="n">
        <x:v>7243.714</x:v>
      </x:c>
      <x:c r="G273" s="24" t="n">
        <x:v>7257.454</x:v>
      </x:c>
      <x:c r="H273" s="24" t="n">
        <x:v>9</x:v>
      </x:c>
      <x:c r="I273" s="25" t="n">
        <x:v>0.0012423347394732165</x:v>
      </x:c>
      <x:c r="J273" s="24" t="n">
        <x:f>ROUND(E273-F273,1)</x:f>
        <x:v>86.9</x:v>
      </x:c>
      <x:c r="K273" s="23" t="str">
        <x:v>中证1000</x:v>
      </x:c>
    </x:row>
    <x:row r="274">
      <x:c r="A274" s="23" t="n">
        <x:v>20</x:v>
      </x:c>
      <x:c r="B274" s="23" t="str">
        <x:v>周五</x:v>
      </x:c>
      <x:c r="C274" s="23" t="str">
        <x:v>11月28日</x:v>
      </x:c>
      <x:c r="D274" s="24" t="n">
        <x:v>7257.165</x:v>
      </x:c>
      <x:c r="E274" s="24" t="n">
        <x:v>7334.21</x:v>
      </x:c>
      <x:c r="F274" s="24" t="n">
        <x:v>7239.854</x:v>
      </x:c>
      <x:c r="G274" s="24" t="n">
        <x:v>7334.21</x:v>
      </x:c>
      <x:c r="H274" s="24" t="n">
        <x:v>76.8</x:v>
      </x:c>
      <x:c r="I274" s="25" t="n">
        <x:v>0.010576160730746631</x:v>
      </x:c>
      <x:c r="J274" s="24" t="n">
        <x:f>ROUND(E274-F274,1)</x:f>
        <x:v>94.4</x:v>
      </x:c>
      <x:c r="K274" s="23" t="str">
        <x:v>中证1000</x:v>
      </x:c>
    </x:row>
    <x:row r="275">
      <x:c r="A275" s="38" t="str">
        <x:v>合计</x:v>
      </x:c>
      <x:c r="B275" s="37" t="n">
        <x:v>20</x:v>
      </x:c>
      <x:c r="C275" s="37"/>
      <x:c r="D275" s="37"/>
      <x:c r="E275" s="37"/>
      <x:c r="F275" s="37"/>
      <x:c r="G275" s="37"/>
      <x:c r="H275" s="37"/>
      <x:c r="I275" s="37"/>
      <x:c r="J275" s="39" t="n">
        <x:f>ROUND(SUM(J255:J274),1)</x:f>
        <x:v>2180.9</x:v>
      </x:c>
      <x:c r="K275" s="37"/>
    </x:row>
    <x:row r="276">
      <x:c r="A276" s="38" t="str">
        <x:v>均值</x:v>
      </x:c>
      <x:c r="B276" s="37"/>
      <x:c r="C276" s="37"/>
      <x:c r="D276" s="37"/>
      <x:c r="E276" s="37"/>
      <x:c r="F276" s="37"/>
      <x:c r="G276" s="37"/>
      <x:c r="H276" s="37"/>
      <x:c r="I276" s="37"/>
      <x:c r="J276" s="41" t="n">
        <x:f>ROUND(IFERROR(AVERAGE(J255:J274),0),1)</x:f>
        <x:v>109</x:v>
      </x:c>
      <x:c r="K276" s="37"/>
    </x:row>
    <x:row r="278">
      <x:c r="A278" s="17" t="str">
        <x:v>12月</x:v>
      </x:c>
      <x:c r="B278" s="17"/>
      <x:c r="C278" s="17"/>
      <x:c r="D278" s="17"/>
      <x:c r="E278" s="17"/>
      <x:c r="F278" s="17"/>
      <x:c r="G278" s="17"/>
      <x:c r="H278" s="17"/>
      <x:c r="I278" s="17"/>
      <x:c r="J278" s="17"/>
      <x:c r="K278" s="17"/>
    </x:row>
    <x:row r="279">
      <x:c r="A279" s="20" t="str">
        <x:v>序号</x:v>
      </x:c>
      <x:c r="B279" s="20" t="str">
        <x:v>星期</x:v>
      </x:c>
      <x:c r="C279" s="20" t="str">
        <x:v>日期</x:v>
      </x:c>
      <x:c r="D279" s="20" t="str">
        <x:v>开盘</x:v>
      </x:c>
      <x:c r="E279" s="20" t="str">
        <x:v>高点</x:v>
      </x:c>
      <x:c r="F279" s="20" t="str">
        <x:v>低点</x:v>
      </x:c>
      <x:c r="G279" s="20" t="str">
        <x:v>收盘</x:v>
      </x:c>
      <x:c r="H279" s="20" t="str">
        <x:v>涨跌点数</x:v>
      </x:c>
      <x:c r="I279" s="20" t="str">
        <x:v>涨幅</x:v>
      </x:c>
      <x:c r="J279" s="20" t="str">
        <x:v>振幅</x:v>
      </x:c>
      <x:c r="K279" s="20" t="str">
        <x:v>标的</x:v>
      </x:c>
    </x:row>
    <x:row r="280">
      <x:c r="A280" s="23" t="n">
        <x:v>1</x:v>
      </x:c>
      <x:c r="B280" s="23" t="str">
        <x:v>周一</x:v>
      </x:c>
      <x:c r="C280" s="23" t="str">
        <x:v>12月1日</x:v>
      </x:c>
      <x:c r="D280" s="24" t="n">
        <x:v>7356.513</x:v>
      </x:c>
      <x:c r="E280" s="24" t="n">
        <x:v>7388.618</x:v>
      </x:c>
      <x:c r="F280" s="24" t="n">
        <x:v>7342.596</x:v>
      </x:c>
      <x:c r="G280" s="24" t="n">
        <x:v>7386.681</x:v>
      </x:c>
      <x:c r="H280" s="24" t="n">
        <x:v>52.5</x:v>
      </x:c>
      <x:c r="I280" s="25" t="n">
        <x:v>0.007154281101850124</x:v>
      </x:c>
      <x:c r="J280" s="24" t="n">
        <x:f>ROUND(E280-F280,1)</x:f>
        <x:v>46</x:v>
      </x:c>
      <x:c r="K280" s="23" t="str">
        <x:v>中证1000</x:v>
      </x:c>
    </x:row>
    <x:row r="281">
      <x:c r="A281" s="23" t="n">
        <x:v>2</x:v>
      </x:c>
      <x:c r="B281" s="23" t="str">
        <x:v>周二</x:v>
      </x:c>
      <x:c r="C281" s="23" t="str">
        <x:v>12月2日</x:v>
      </x:c>
      <x:c r="D281" s="24" t="n">
        <x:v>7364.204</x:v>
      </x:c>
      <x:c r="E281" s="24" t="n">
        <x:v>7364.204</x:v>
      </x:c>
      <x:c r="F281" s="24" t="n">
        <x:v>7299.272</x:v>
      </x:c>
      <x:c r="G281" s="24" t="n">
        <x:v>7313.178</x:v>
      </x:c>
      <x:c r="H281" s="24" t="n">
        <x:v>-73.5</x:v>
      </x:c>
      <x:c r="I281" s="25" t="n">
        <x:v>-0.00995074783925276</x:v>
      </x:c>
      <x:c r="J281" s="24" t="n">
        <x:f>ROUND(E281-F281,1)</x:f>
        <x:v>64.9</x:v>
      </x:c>
      <x:c r="K281" s="23" t="str">
        <x:v>中证1000</x:v>
      </x:c>
    </x:row>
    <x:row r="282">
      <x:c r="A282" s="23" t="n">
        <x:v>3</x:v>
      </x:c>
      <x:c r="B282" s="23" t="str">
        <x:v>周三</x:v>
      </x:c>
      <x:c r="C282" s="23" t="str">
        <x:v>12月3日</x:v>
      </x:c>
      <x:c r="D282" s="24" t="n">
        <x:v>7312.667</x:v>
      </x:c>
      <x:c r="E282" s="24" t="n">
        <x:v>7324.211</x:v>
      </x:c>
      <x:c r="F282" s="24" t="n">
        <x:v>7220.976</x:v>
      </x:c>
      <x:c r="G282" s="24" t="n">
        <x:v>7248.274</x:v>
      </x:c>
      <x:c r="H282" s="24" t="n">
        <x:v>-64.9</x:v>
      </x:c>
      <x:c r="I282" s="25" t="n">
        <x:v>-0.008874937817731188</x:v>
      </x:c>
      <x:c r="J282" s="24" t="n">
        <x:f>ROUND(E282-F282,1)</x:f>
        <x:v>103.2</x:v>
      </x:c>
      <x:c r="K282" s="23" t="str">
        <x:v>中证1000</x:v>
      </x:c>
    </x:row>
    <x:row r="283">
      <x:c r="A283" s="23" t="n">
        <x:v>4</x:v>
      </x:c>
      <x:c r="B283" s="23" t="str">
        <x:v>周四</x:v>
      </x:c>
      <x:c r="C283" s="23" t="str">
        <x:v>12月4日</x:v>
      </x:c>
      <x:c r="D283" s="24" t="n">
        <x:v>7246.862</x:v>
      </x:c>
      <x:c r="E283" s="24" t="n">
        <x:v>7269.902</x:v>
      </x:c>
      <x:c r="F283" s="24" t="n">
        <x:v>7185.911</x:v>
      </x:c>
      <x:c r="G283" s="24" t="n">
        <x:v>7248.657</x:v>
      </x:c>
      <x:c r="H283" s="24" t="n">
        <x:v>0.4</x:v>
      </x:c>
      <x:c r="I283" s="25" t="n">
        <x:v>0.00005284016581041939</x:v>
      </x:c>
      <x:c r="J283" s="24" t="n">
        <x:f>ROUND(E283-F283,1)</x:f>
        <x:v>84</x:v>
      </x:c>
      <x:c r="K283" s="23" t="str">
        <x:v>中证1000</x:v>
      </x:c>
    </x:row>
    <x:row r="284">
      <x:c r="A284" s="23" t="n">
        <x:v>5</x:v>
      </x:c>
      <x:c r="B284" s="23" t="str">
        <x:v>周五</x:v>
      </x:c>
      <x:c r="C284" s="23" t="str">
        <x:v>12月5日</x:v>
      </x:c>
      <x:c r="D284" s="24" t="n">
        <x:v>7244.277</x:v>
      </x:c>
      <x:c r="E284" s="24" t="n">
        <x:v>7346.999</x:v>
      </x:c>
      <x:c r="F284" s="24" t="n">
        <x:v>7194.661</x:v>
      </x:c>
      <x:c r="G284" s="24" t="n">
        <x:v>7342.492</x:v>
      </x:c>
      <x:c r="H284" s="24" t="n">
        <x:v>93.8</x:v>
      </x:c>
      <x:c r="I284" s="25" t="n">
        <x:v>0.012945156599353469</x:v>
      </x:c>
      <x:c r="J284" s="24" t="n">
        <x:f>ROUND(E284-F284,1)</x:f>
        <x:v>152.3</x:v>
      </x:c>
      <x:c r="K284" s="23" t="str">
        <x:v>中证1000</x:v>
      </x:c>
    </x:row>
    <x:row r="285">
      <x:c r="A285" s="23" t="n">
        <x:v>6</x:v>
      </x:c>
      <x:c r="B285" s="23" t="str">
        <x:v>周一</x:v>
      </x:c>
      <x:c r="C285" s="23" t="str">
        <x:v>12月8日</x:v>
      </x:c>
      <x:c r="D285" s="24" t="n">
        <x:v>7359.488</x:v>
      </x:c>
      <x:c r="E285" s="24" t="n">
        <x:v>7446.192</x:v>
      </x:c>
      <x:c r="F285" s="24" t="n">
        <x:v>7359.488</x:v>
      </x:c>
      <x:c r="G285" s="24" t="n">
        <x:v>7423.046</x:v>
      </x:c>
      <x:c r="H285" s="24" t="n">
        <x:v>80.6</x:v>
      </x:c>
      <x:c r="I285" s="25" t="n">
        <x:v>0.01097093466359933</x:v>
      </x:c>
      <x:c r="J285" s="24" t="n">
        <x:f>ROUND(E285-F285,1)</x:f>
        <x:v>86.7</x:v>
      </x:c>
      <x:c r="K285" s="23" t="str">
        <x:v>中证1000</x:v>
      </x:c>
    </x:row>
    <x:row r="286">
      <x:c r="A286" s="23" t="n">
        <x:v>7</x:v>
      </x:c>
      <x:c r="B286" s="23" t="str">
        <x:v>周二</x:v>
      </x:c>
      <x:c r="C286" s="23" t="str">
        <x:v>12月9日</x:v>
      </x:c>
      <x:c r="D286" s="24" t="n">
        <x:v>7400.934</x:v>
      </x:c>
      <x:c r="E286" s="24" t="n">
        <x:v>7439.546</x:v>
      </x:c>
      <x:c r="F286" s="24" t="n">
        <x:v>7370.296</x:v>
      </x:c>
      <x:c r="G286" s="24" t="n">
        <x:v>7380.584</x:v>
      </x:c>
      <x:c r="H286" s="24" t="n">
        <x:v>-42.5</x:v>
      </x:c>
      <x:c r="I286" s="25" t="n">
        <x:v>-0.005720293259667275</x:v>
      </x:c>
      <x:c r="J286" s="24" t="n">
        <x:f>ROUND(E286-F286,1)</x:f>
        <x:v>69.3</x:v>
      </x:c>
      <x:c r="K286" s="23" t="str">
        <x:v>中证1000</x:v>
      </x:c>
    </x:row>
    <x:row r="287">
      <x:c r="A287" s="23" t="n">
        <x:v>8</x:v>
      </x:c>
      <x:c r="B287" s="23" t="str">
        <x:v>周三</x:v>
      </x:c>
      <x:c r="C287" s="23" t="str">
        <x:v>12月10日</x:v>
      </x:c>
      <x:c r="D287" s="24" t="n">
        <x:v>7367.492</x:v>
      </x:c>
      <x:c r="E287" s="24" t="n">
        <x:v>7421.423</x:v>
      </x:c>
      <x:c r="F287" s="24" t="n">
        <x:v>7332.053</x:v>
      </x:c>
      <x:c r="G287" s="24" t="n">
        <x:v>7408.244</x:v>
      </x:c>
      <x:c r="H287" s="24" t="n">
        <x:v>27.7</x:v>
      </x:c>
      <x:c r="I287" s="25" t="n">
        <x:v>0.003747670916014245</x:v>
      </x:c>
      <x:c r="J287" s="24" t="n">
        <x:f>ROUND(E287-F287,1)</x:f>
        <x:v>89.4</x:v>
      </x:c>
      <x:c r="K287" s="23" t="str">
        <x:v>中证1000</x:v>
      </x:c>
    </x:row>
    <x:row r="288">
      <x:c r="A288" s="23" t="n">
        <x:v>9</x:v>
      </x:c>
      <x:c r="B288" s="23" t="str">
        <x:v>周四</x:v>
      </x:c>
      <x:c r="C288" s="23" t="str">
        <x:v>12月11日</x:v>
      </x:c>
      <x:c r="D288" s="24" t="n">
        <x:v>7421.787</x:v>
      </x:c>
      <x:c r="E288" s="24" t="n">
        <x:v>7425.441</x:v>
      </x:c>
      <x:c r="F288" s="24" t="n">
        <x:v>7311.995</x:v>
      </x:c>
      <x:c r="G288" s="24" t="n">
        <x:v>7311.995</x:v>
      </x:c>
      <x:c r="H288" s="24" t="n">
        <x:v>-96.2</x:v>
      </x:c>
      <x:c r="I288" s="25" t="n">
        <x:v>-0.012992147666842535</x:v>
      </x:c>
      <x:c r="J288" s="24" t="n">
        <x:f>ROUND(E288-F288,1)</x:f>
        <x:v>113.4</x:v>
      </x:c>
      <x:c r="K288" s="23" t="str">
        <x:v>中证1000</x:v>
      </x:c>
    </x:row>
    <x:row r="289">
      <x:c r="A289" s="23" t="n">
        <x:v>10</x:v>
      </x:c>
      <x:c r="B289" s="23" t="str">
        <x:v>周五</x:v>
      </x:c>
      <x:c r="C289" s="23" t="str">
        <x:v>12月12日</x:v>
      </x:c>
      <x:c r="D289" s="24" t="n">
        <x:v>7312.871</x:v>
      </x:c>
      <x:c r="E289" s="24" t="n">
        <x:v>7384.848</x:v>
      </x:c>
      <x:c r="F289" s="24" t="n">
        <x:v>7284.555</x:v>
      </x:c>
      <x:c r="G289" s="24" t="n">
        <x:v>7370.942</x:v>
      </x:c>
      <x:c r="H289" s="24" t="n">
        <x:v>58.9</x:v>
      </x:c>
      <x:c r="I289" s="25" t="n">
        <x:v>0.008061684943712288</x:v>
      </x:c>
      <x:c r="J289" s="24" t="n">
        <x:f>ROUND(E289-F289,1)</x:f>
        <x:v>100.3</x:v>
      </x:c>
      <x:c r="K289" s="23" t="str">
        <x:v>中证1000</x:v>
      </x:c>
    </x:row>
    <x:row r="290">
      <x:c r="A290" s="23" t="n">
        <x:v>11</x:v>
      </x:c>
      <x:c r="B290" s="23" t="str">
        <x:v>周一</x:v>
      </x:c>
      <x:c r="C290" s="23" t="str">
        <x:v>12月15日</x:v>
      </x:c>
      <x:c r="D290" s="24" t="n">
        <x:v>7324.48</x:v>
      </x:c>
      <x:c r="E290" s="24" t="n">
        <x:v>7375.612</x:v>
      </x:c>
      <x:c r="F290" s="24" t="n">
        <x:v>7305.832</x:v>
      </x:c>
      <x:c r="G290" s="24" t="n">
        <x:v>7309.078</x:v>
      </x:c>
      <x:c r="H290" s="24" t="n">
        <x:v>-61.9</x:v>
      </x:c>
      <x:c r="I290" s="25" t="n">
        <x:v>-0.008392957101005516</x:v>
      </x:c>
      <x:c r="J290" s="24" t="n">
        <x:f>ROUND(E290-F290,1)</x:f>
        <x:v>69.8</x:v>
      </x:c>
      <x:c r="K290" s="23" t="str">
        <x:v>中证1000</x:v>
      </x:c>
    </x:row>
    <x:row r="291">
      <x:c r="A291" s="23" t="n">
        <x:v>12</x:v>
      </x:c>
      <x:c r="B291" s="23" t="str">
        <x:v>周二</x:v>
      </x:c>
      <x:c r="C291" s="23" t="str">
        <x:v>12月16日</x:v>
      </x:c>
      <x:c r="D291" s="24" t="n">
        <x:v>7302.159</x:v>
      </x:c>
      <x:c r="E291" s="24" t="n">
        <x:v>7302.159</x:v>
      </x:c>
      <x:c r="F291" s="24" t="n">
        <x:v>7143.615</x:v>
      </x:c>
      <x:c r="G291" s="24" t="n">
        <x:v>7181.62</x:v>
      </x:c>
      <x:c r="H291" s="24" t="n">
        <x:v>-127.5</x:v>
      </x:c>
      <x:c r="I291" s="25" t="n">
        <x:v>-0.01743831438110255</x:v>
      </x:c>
      <x:c r="J291" s="24" t="n">
        <x:f>ROUND(E291-F291,1)</x:f>
        <x:v>158.5</x:v>
      </x:c>
      <x:c r="K291" s="23" t="str">
        <x:v>中证1000</x:v>
      </x:c>
    </x:row>
    <x:row r="292">
      <x:c r="A292" s="23" t="n">
        <x:v>13</x:v>
      </x:c>
      <x:c r="B292" s="23" t="str">
        <x:v>周三</x:v>
      </x:c>
      <x:c r="C292" s="23" t="str">
        <x:v>12月17日</x:v>
      </x:c>
      <x:c r="D292" s="24" t="n">
        <x:v>7178.307</x:v>
      </x:c>
      <x:c r="E292" s="24" t="n">
        <x:v>7303.375</x:v>
      </x:c>
      <x:c r="F292" s="24" t="n">
        <x:v>7149.019</x:v>
      </x:c>
      <x:c r="G292" s="24" t="n">
        <x:v>7288.738</x:v>
      </x:c>
      <x:c r="H292" s="24" t="n">
        <x:v>107.1</x:v>
      </x:c>
      <x:c r="I292" s="25" t="n">
        <x:v>0.01491557615134198</x:v>
      </x:c>
      <x:c r="J292" s="24" t="n">
        <x:f>ROUND(E292-F292,1)</x:f>
        <x:v>154.4</x:v>
      </x:c>
      <x:c r="K292" s="23" t="str">
        <x:v>中证1000</x:v>
      </x:c>
    </x:row>
    <x:row r="293">
      <x:c r="A293" s="23" t="n">
        <x:v>14</x:v>
      </x:c>
      <x:c r="B293" s="23" t="str">
        <x:v>周四</x:v>
      </x:c>
      <x:c r="C293" s="23" t="str">
        <x:v>12月18日</x:v>
      </x:c>
      <x:c r="D293" s="24" t="n">
        <x:v>7244.64</x:v>
      </x:c>
      <x:c r="E293" s="24" t="n">
        <x:v>7336.732</x:v>
      </x:c>
      <x:c r="F293" s="24" t="n">
        <x:v>7241.861</x:v>
      </x:c>
      <x:c r="G293" s="24" t="n">
        <x:v>7272.402</x:v>
      </x:c>
      <x:c r="H293" s="24" t="n">
        <x:v>-16.3</x:v>
      </x:c>
      <x:c r="I293" s="25" t="n">
        <x:v>-0.0022412659091327614</x:v>
      </x:c>
      <x:c r="J293" s="24" t="n">
        <x:f>ROUND(E293-F293,1)</x:f>
        <x:v>94.9</x:v>
      </x:c>
      <x:c r="K293" s="23" t="str">
        <x:v>中证1000</x:v>
      </x:c>
    </x:row>
    <x:row r="294">
      <x:c r="A294" s="33" t="n">
        <x:v>15</x:v>
      </x:c>
      <x:c r="B294" s="33" t="str">
        <x:v>周五</x:v>
      </x:c>
      <x:c r="C294" s="33" t="str">
        <x:v>12月19日</x:v>
      </x:c>
      <x:c r="D294" s="34" t="n">
        <x:v>7295.671</x:v>
      </x:c>
      <x:c r="E294" s="34" t="n">
        <x:v>7357.042</x:v>
      </x:c>
      <x:c r="F294" s="34" t="n">
        <x:v>7279.987</x:v>
      </x:c>
      <x:c r="G294" s="34" t="n">
        <x:v>7329.806</x:v>
      </x:c>
      <x:c r="H294" s="34" t="n">
        <x:v>57.4</x:v>
      </x:c>
      <x:c r="I294" s="35" t="n">
        <x:v>0.007893403032450452</x:v>
      </x:c>
      <x:c r="J294" s="34" t="n">
        <x:f>ROUND(E294-F294,1)</x:f>
        <x:v>77.1</x:v>
      </x:c>
      <x:c r="K294" s="33" t="str">
        <x:v>中证1000</x:v>
      </x:c>
    </x:row>
    <x:row r="295">
      <x:c r="A295" s="23" t="n">
        <x:v>16</x:v>
      </x:c>
      <x:c r="B295" s="23" t="str">
        <x:v>周一</x:v>
      </x:c>
      <x:c r="C295" s="23" t="str">
        <x:v>12月22日</x:v>
      </x:c>
      <x:c r="D295" s="24" t="n">
        <x:v>7363.064</x:v>
      </x:c>
      <x:c r="E295" s="24" t="n">
        <x:v>7433.428</x:v>
      </x:c>
      <x:c r="F295" s="24" t="n">
        <x:v>7363.064</x:v>
      </x:c>
      <x:c r="G295" s="24" t="n">
        <x:v>7408.349</x:v>
      </x:c>
      <x:c r="H295" s="24" t="n">
        <x:v>78.5</x:v>
      </x:c>
      <x:c r="I295" s="25" t="n">
        <x:v>0.010715563276845419</x:v>
      </x:c>
      <x:c r="J295" s="24" t="n">
        <x:f>ROUND(E295-F295,1)</x:f>
        <x:v>70.4</x:v>
      </x:c>
      <x:c r="K295" s="23" t="str">
        <x:v>中证1000</x:v>
      </x:c>
    </x:row>
    <x:row r="296">
      <x:c r="A296" s="23" t="n">
        <x:v>17</x:v>
      </x:c>
      <x:c r="B296" s="23" t="str">
        <x:v>周二</x:v>
      </x:c>
      <x:c r="C296" s="23" t="str">
        <x:v>12月23日</x:v>
      </x:c>
      <x:c r="D296" s="24" t="n">
        <x:v>7410.224</x:v>
      </x:c>
      <x:c r="E296" s="24" t="n">
        <x:v>7441.412</x:v>
      </x:c>
      <x:c r="F296" s="24" t="n">
        <x:v>7363.934</x:v>
      </x:c>
      <x:c r="G296" s="24" t="n">
        <x:v>7392.42</x:v>
      </x:c>
      <x:c r="H296" s="24" t="n">
        <x:v>-15.9</x:v>
      </x:c>
      <x:c r="I296" s="25" t="n">
        <x:v>-0.0021501416847397037</x:v>
      </x:c>
      <x:c r="J296" s="24" t="n">
        <x:f>ROUND(E296-F296,1)</x:f>
        <x:v>77.5</x:v>
      </x:c>
      <x:c r="K296" s="23" t="str">
        <x:v>中证1000</x:v>
      </x:c>
    </x:row>
    <x:row r="297">
      <x:c r="A297" s="23" t="n">
        <x:v>18</x:v>
      </x:c>
      <x:c r="B297" s="23" t="str">
        <x:v>周三</x:v>
      </x:c>
      <x:c r="C297" s="23" t="str">
        <x:v>12月24日</x:v>
      </x:c>
      <x:c r="D297" s="24" t="n">
        <x:v>7391.561</x:v>
      </x:c>
      <x:c r="E297" s="24" t="n">
        <x:v>7513.254</x:v>
      </x:c>
      <x:c r="F297" s="24" t="n">
        <x:v>7386.489</x:v>
      </x:c>
      <x:c r="G297" s="24" t="n">
        <x:v>7506.381</x:v>
      </x:c>
      <x:c r="H297" s="24" t="n">
        <x:v>114</x:v>
      </x:c>
      <x:c r="I297" s="25" t="n">
        <x:v>0.01541592604316322</x:v>
      </x:c>
      <x:c r="J297" s="24" t="n">
        <x:f>ROUND(E297-F297,1)</x:f>
        <x:v>126.8</x:v>
      </x:c>
      <x:c r="K297" s="23" t="str">
        <x:v>中证1000</x:v>
      </x:c>
    </x:row>
    <x:row r="298">
      <x:c r="A298" s="23" t="n">
        <x:v>19</x:v>
      </x:c>
      <x:c r="B298" s="23" t="str">
        <x:v>周四</x:v>
      </x:c>
      <x:c r="C298" s="23" t="str">
        <x:v>12月25日</x:v>
      </x:c>
      <x:c r="D298" s="24" t="n">
        <x:v>7507.297</x:v>
      </x:c>
      <x:c r="E298" s="24" t="n">
        <x:v>7591.782</x:v>
      </x:c>
      <x:c r="F298" s="24" t="n">
        <x:v>7502.154</x:v>
      </x:c>
      <x:c r="G298" s="24" t="n">
        <x:v>7579.379</x:v>
      </x:c>
      <x:c r="H298" s="24" t="n">
        <x:v>73</x:v>
      </x:c>
      <x:c r="I298" s="25" t="n">
        <x:v>0.009724792812941363</x:v>
      </x:c>
      <x:c r="J298" s="24" t="n">
        <x:f>ROUND(E298-F298,1)</x:f>
        <x:v>89.6</x:v>
      </x:c>
      <x:c r="K298" s="23" t="str">
        <x:v>中证1000</x:v>
      </x:c>
    </x:row>
    <x:row r="299">
      <x:c r="A299" s="23" t="n">
        <x:v>20</x:v>
      </x:c>
      <x:c r="B299" s="23" t="str">
        <x:v>周五</x:v>
      </x:c>
      <x:c r="C299" s="23" t="str">
        <x:v>12月26日</x:v>
      </x:c>
      <x:c r="D299" s="24" t="n">
        <x:v>7575.926</x:v>
      </x:c>
      <x:c r="E299" s="24" t="n">
        <x:v>7644.84</x:v>
      </x:c>
      <x:c r="F299" s="24" t="n">
        <x:v>7550.014</x:v>
      </x:c>
      <x:c r="G299" s="24" t="n">
        <x:v>7605.53</x:v>
      </x:c>
      <x:c r="H299" s="24" t="n">
        <x:v>26.2</x:v>
      </x:c>
      <x:c r="I299" s="25" t="n">
        <x:v>0.0034502826682767385</x:v>
      </x:c>
      <x:c r="J299" s="24" t="n">
        <x:f>ROUND(E299-F299,1)</x:f>
        <x:v>94.8</x:v>
      </x:c>
      <x:c r="K299" s="23" t="str">
        <x:v>中证1000</x:v>
      </x:c>
    </x:row>
    <x:row r="300">
      <x:c r="A300" s="23" t="n">
        <x:v>21</x:v>
      </x:c>
      <x:c r="B300" s="23" t="str">
        <x:v>周一</x:v>
      </x:c>
      <x:c r="C300" s="23" t="str">
        <x:v>12月29日</x:v>
      </x:c>
      <x:c r="D300" s="24" t="n">
        <x:v>7606.435</x:v>
      </x:c>
      <x:c r="E300" s="24" t="n">
        <x:v>7637.91</x:v>
      </x:c>
      <x:c r="F300" s="24" t="n">
        <x:v>7574.775</x:v>
      </x:c>
      <x:c r="G300" s="24" t="n">
        <x:v>7594.158</x:v>
      </x:c>
      <x:c r="H300" s="24" t="n">
        <x:v>-11.4</x:v>
      </x:c>
      <x:c r="I300" s="25" t="n">
        <x:v>-0.001495227814498068</x:v>
      </x:c>
      <x:c r="J300" s="24" t="n">
        <x:f>ROUND(E300-F300,1)</x:f>
        <x:v>63.1</x:v>
      </x:c>
      <x:c r="K300" s="23" t="str">
        <x:v>中证1000</x:v>
      </x:c>
    </x:row>
    <x:row r="301">
      <x:c r="A301" s="23" t="n">
        <x:v>22</x:v>
      </x:c>
      <x:c r="B301" s="23" t="str">
        <x:v>周二</x:v>
      </x:c>
      <x:c r="C301" s="23" t="str">
        <x:v>12月30日</x:v>
      </x:c>
      <x:c r="D301" s="24" t="n">
        <x:v>7556.537</x:v>
      </x:c>
      <x:c r="E301" s="24" t="n">
        <x:v>7636.153</x:v>
      </x:c>
      <x:c r="F301" s="24" t="n">
        <x:v>7552.401</x:v>
      </x:c>
      <x:c r="G301" s="24" t="n">
        <x:v>7597.299</x:v>
      </x:c>
      <x:c r="H301" s="24" t="n">
        <x:v>3.1</x:v>
      </x:c>
      <x:c r="I301" s="25" t="n">
        <x:v>0.0004136074071674489</x:v>
      </x:c>
      <x:c r="J301" s="24" t="n">
        <x:f>ROUND(E301-F301,1)</x:f>
        <x:v>83.8</x:v>
      </x:c>
      <x:c r="K301" s="23" t="str">
        <x:v>中证1000</x:v>
      </x:c>
    </x:row>
    <x:row r="302">
      <x:c r="A302" s="23" t="n">
        <x:v>23</x:v>
      </x:c>
      <x:c r="B302" s="23" t="str">
        <x:v>周三</x:v>
      </x:c>
      <x:c r="C302" s="23" t="str">
        <x:v>12月31日</x:v>
      </x:c>
      <x:c r="D302" s="24" t="n">
        <x:v>7606.646</x:v>
      </x:c>
      <x:c r="E302" s="24" t="n">
        <x:v>7619.221</x:v>
      </x:c>
      <x:c r="F302" s="24" t="n">
        <x:v>7560.723</x:v>
      </x:c>
      <x:c r="G302" s="24" t="n">
        <x:v>7595.285</x:v>
      </x:c>
      <x:c r="H302" s="24" t="n">
        <x:v>-2</x:v>
      </x:c>
      <x:c r="I302" s="25" t="n">
        <x:v>-0.00026509421308806846</x:v>
      </x:c>
      <x:c r="J302" s="24" t="n">
        <x:f>ROUND(E302-F302,1)</x:f>
        <x:v>58.5</x:v>
      </x:c>
      <x:c r="K302" s="23" t="str">
        <x:v>中证1000</x:v>
      </x:c>
    </x:row>
    <x:row r="303">
      <x:c r="A303" s="38" t="str">
        <x:v>合计</x:v>
      </x:c>
      <x:c r="B303" s="37" t="n">
        <x:v>23</x:v>
      </x:c>
      <x:c r="C303" s="37"/>
      <x:c r="D303" s="37"/>
      <x:c r="E303" s="37"/>
      <x:c r="F303" s="37"/>
      <x:c r="G303" s="37"/>
      <x:c r="H303" s="37"/>
      <x:c r="I303" s="37"/>
      <x:c r="J303" s="39" t="n">
        <x:f>ROUND(SUM(J280:J302),1)</x:f>
        <x:v>2128.7</x:v>
      </x:c>
      <x:c r="K303" s="37"/>
    </x:row>
    <x:row r="304">
      <x:c r="A304" s="38" t="str">
        <x:v>均值</x:v>
      </x:c>
      <x:c r="B304" s="37"/>
      <x:c r="C304" s="37"/>
      <x:c r="D304" s="37"/>
      <x:c r="E304" s="37"/>
      <x:c r="F304" s="37"/>
      <x:c r="G304" s="37"/>
      <x:c r="H304" s="37"/>
      <x:c r="I304" s="37"/>
      <x:c r="J304" s="41" t="n">
        <x:f>ROUND(IFERROR(AVERAGE(J280:J302),0),1)</x:f>
        <x:v>92.6</x:v>
      </x:c>
      <x:c r="K304" s="37"/>
    </x:row>
  </x:sheetData>
  <x:mergeCells>
    <x:mergeCell ref="A1:K1"/>
    <x:mergeCell ref="A3:K3"/>
    <x:mergeCell ref="A26:K26"/>
    <x:mergeCell ref="A49:K49"/>
    <x:mergeCell ref="A75:K75"/>
    <x:mergeCell ref="A101:K101"/>
    <x:mergeCell ref="A125:K125"/>
    <x:mergeCell ref="A150:K150"/>
    <x:mergeCell ref="A178:K178"/>
    <x:mergeCell ref="A204:K204"/>
    <x:mergeCell ref="A231:K231"/>
    <x:mergeCell ref="A253:K253"/>
    <x:mergeCell ref="A278:K27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4" hidden="0" customWidth="1"/>
  </x:cols>
  <x:sheetData>
    <x:row r="1" ht="38" customHeight="1">
      <x:c r="A1" s="15" t="str">
        <x:v>2025年统计 - 中证500</x:v>
      </x:c>
    </x:row>
    <x:row r="3">
      <x:c r="A3" s="17" t="str">
        <x:v>1月</x:v>
      </x:c>
      <x:c r="B3" s="17"/>
      <x:c r="C3" s="17"/>
      <x:c r="D3" s="17"/>
      <x:c r="E3" s="17"/>
      <x:c r="F3" s="17"/>
      <x:c r="G3" s="17"/>
      <x:c r="H3" s="17"/>
      <x:c r="I3" s="17"/>
      <x:c r="J3" s="17"/>
      <x:c r="K3" s="17"/>
    </x:row>
    <x:row r="4">
      <x:c r="A4" s="20" t="str">
        <x:v>序号</x:v>
      </x:c>
      <x:c r="B4" s="20" t="str">
        <x:v>星期</x:v>
      </x:c>
      <x:c r="C4" s="20" t="str">
        <x:v>日期</x:v>
      </x:c>
      <x:c r="D4" s="20" t="str">
        <x:v>开盘</x:v>
      </x:c>
      <x:c r="E4" s="20" t="str">
        <x:v>高点</x:v>
      </x:c>
      <x:c r="F4" s="20" t="str">
        <x:v>低点</x:v>
      </x:c>
      <x:c r="G4" s="20" t="str">
        <x:v>收盘</x:v>
      </x:c>
      <x:c r="H4" s="20" t="str">
        <x:v>涨跌点数</x:v>
      </x:c>
      <x:c r="I4" s="20" t="str">
        <x:v>涨幅</x:v>
      </x:c>
      <x:c r="J4" s="20" t="str">
        <x:v>振幅</x:v>
      </x:c>
      <x:c r="K4" s="20" t="str">
        <x:v>标的</x:v>
      </x:c>
    </x:row>
    <x:row r="5">
      <x:c r="A5" s="23" t="n">
        <x:v>1</x:v>
      </x:c>
      <x:c r="B5" s="23" t="str">
        <x:v>周四</x:v>
      </x:c>
      <x:c r="C5" s="23" t="str">
        <x:v>1月2日</x:v>
      </x:c>
      <x:c r="D5" s="24" t="n">
        <x:v>5717.916</x:v>
      </x:c>
      <x:c r="E5" s="24" t="n">
        <x:v>5722.111</x:v>
      </x:c>
      <x:c r="F5" s="24" t="n">
        <x:v>5498.822</x:v>
      </x:c>
      <x:c r="G5" s="24" t="n">
        <x:v>5545.817</x:v>
      </x:c>
      <x:c r="H5" s="27" t="n">
        <x:v>-179.9</x:v>
      </x:c>
      <x:c r="I5" s="25" t="n">
        <x:v>-0.03142218322478241</x:v>
      </x:c>
      <x:c r="J5" s="29" t="n">
        <x:f>ROUND(E5-F5,1)</x:f>
        <x:v>223.3</x:v>
      </x:c>
      <x:c r="K5" s="23" t="str">
        <x:v>中证500</x:v>
      </x:c>
    </x:row>
    <x:row r="6">
      <x:c r="A6" s="23" t="n">
        <x:v>2</x:v>
      </x:c>
      <x:c r="B6" s="23" t="str">
        <x:v>周五</x:v>
      </x:c>
      <x:c r="C6" s="23" t="str">
        <x:v>1月3日</x:v>
      </x:c>
      <x:c r="D6" s="24" t="n">
        <x:v>5552.75</x:v>
      </x:c>
      <x:c r="E6" s="24" t="n">
        <x:v>5581.398</x:v>
      </x:c>
      <x:c r="F6" s="24" t="n">
        <x:v>5419.743</x:v>
      </x:c>
      <x:c r="G6" s="24" t="n">
        <x:v>5427.804</x:v>
      </x:c>
      <x:c r="H6" s="24" t="n">
        <x:v>-118</x:v>
      </x:c>
      <x:c r="I6" s="25" t="n">
        <x:v>-0.021279641935534443</x:v>
      </x:c>
      <x:c r="J6" s="29" t="n">
        <x:f>ROUND(E6-F6,1)</x:f>
        <x:v>161.7</x:v>
      </x:c>
      <x:c r="K6" s="23" t="str">
        <x:v>中证500</x:v>
      </x:c>
    </x:row>
    <x:row r="7">
      <x:c r="A7" s="23" t="n">
        <x:v>3</x:v>
      </x:c>
      <x:c r="B7" s="23" t="str">
        <x:v>周一</x:v>
      </x:c>
      <x:c r="C7" s="23" t="str">
        <x:v>1月6日</x:v>
      </x:c>
      <x:c r="D7" s="24" t="n">
        <x:v>5421.065</x:v>
      </x:c>
      <x:c r="E7" s="24" t="n">
        <x:v>5482.625</x:v>
      </x:c>
      <x:c r="F7" s="24" t="n">
        <x:v>5384.333</x:v>
      </x:c>
      <x:c r="G7" s="24" t="n">
        <x:v>5427.101</x:v>
      </x:c>
      <x:c r="H7" s="24" t="n">
        <x:v>-0.7</x:v>
      </x:c>
      <x:c r="I7" s="25" t="n">
        <x:v>-0.0001295183097990149</x:v>
      </x:c>
      <x:c r="J7" s="24" t="n">
        <x:f>ROUND(E7-F7,1)</x:f>
        <x:v>98.3</x:v>
      </x:c>
      <x:c r="K7" s="23" t="str">
        <x:v>中证500</x:v>
      </x:c>
    </x:row>
    <x:row r="8">
      <x:c r="A8" s="23" t="n">
        <x:v>4</x:v>
      </x:c>
      <x:c r="B8" s="23" t="str">
        <x:v>周二</x:v>
      </x:c>
      <x:c r="C8" s="23" t="str">
        <x:v>1月7日</x:v>
      </x:c>
      <x:c r="D8" s="24" t="n">
        <x:v>5429.173</x:v>
      </x:c>
      <x:c r="E8" s="24" t="n">
        <x:v>5485.585</x:v>
      </x:c>
      <x:c r="F8" s="24" t="n">
        <x:v>5405.133</x:v>
      </x:c>
      <x:c r="G8" s="24" t="n">
        <x:v>5484.685</x:v>
      </x:c>
      <x:c r="H8" s="24" t="n">
        <x:v>57.6</x:v>
      </x:c>
      <x:c r="I8" s="25" t="n">
        <x:v>0.010610452984014973</x:v>
      </x:c>
      <x:c r="J8" s="24" t="n">
        <x:f>ROUND(E8-F8,1)</x:f>
        <x:v>80.5</x:v>
      </x:c>
      <x:c r="K8" s="23" t="str">
        <x:v>中证500</x:v>
      </x:c>
    </x:row>
    <x:row r="9">
      <x:c r="A9" s="23" t="n">
        <x:v>5</x:v>
      </x:c>
      <x:c r="B9" s="23" t="str">
        <x:v>周三</x:v>
      </x:c>
      <x:c r="C9" s="23" t="str">
        <x:v>1月8日</x:v>
      </x:c>
      <x:c r="D9" s="24" t="n">
        <x:v>5462.324</x:v>
      </x:c>
      <x:c r="E9" s="24" t="n">
        <x:v>5501.656</x:v>
      </x:c>
      <x:c r="F9" s="24" t="n">
        <x:v>5326.926</x:v>
      </x:c>
      <x:c r="G9" s="24" t="n">
        <x:v>5461.586</x:v>
      </x:c>
      <x:c r="H9" s="24" t="n">
        <x:v>-23.1</x:v>
      </x:c>
      <x:c r="I9" s="25" t="n">
        <x:v>-0.004211545421478169</x:v>
      </x:c>
      <x:c r="J9" s="29" t="n">
        <x:f>ROUND(E9-F9,1)</x:f>
        <x:v>174.7</x:v>
      </x:c>
      <x:c r="K9" s="23" t="str">
        <x:v>中证500</x:v>
      </x:c>
    </x:row>
    <x:row r="10">
      <x:c r="A10" s="23" t="n">
        <x:v>6</x:v>
      </x:c>
      <x:c r="B10" s="23" t="str">
        <x:v>周四</x:v>
      </x:c>
      <x:c r="C10" s="23" t="str">
        <x:v>1月9日</x:v>
      </x:c>
      <x:c r="D10" s="24" t="n">
        <x:v>5437.813</x:v>
      </x:c>
      <x:c r="E10" s="24" t="n">
        <x:v>5493.68</x:v>
      </x:c>
      <x:c r="F10" s="24" t="n">
        <x:v>5436.704</x:v>
      </x:c>
      <x:c r="G10" s="24" t="n">
        <x:v>5456.586</x:v>
      </x:c>
      <x:c r="H10" s="24" t="n">
        <x:v>-5</x:v>
      </x:c>
      <x:c r="I10" s="25" t="n">
        <x:v>-0.0009154849891588324</x:v>
      </x:c>
      <x:c r="J10" s="24" t="n">
        <x:f>ROUND(E10-F10,1)</x:f>
        <x:v>57</x:v>
      </x:c>
      <x:c r="K10" s="23" t="str">
        <x:v>中证500</x:v>
      </x:c>
    </x:row>
    <x:row r="11">
      <x:c r="A11" s="23" t="n">
        <x:v>7</x:v>
      </x:c>
      <x:c r="B11" s="23" t="str">
        <x:v>周五</x:v>
      </x:c>
      <x:c r="C11" s="23" t="str">
        <x:v>1月10日</x:v>
      </x:c>
      <x:c r="D11" s="24" t="n">
        <x:v>5449.001</x:v>
      </x:c>
      <x:c r="E11" s="24" t="n">
        <x:v>5496.383</x:v>
      </x:c>
      <x:c r="F11" s="24" t="n">
        <x:v>5369.281</x:v>
      </x:c>
      <x:c r="G11" s="24" t="n">
        <x:v>5369.281</x:v>
      </x:c>
      <x:c r="H11" s="24" t="n">
        <x:v>-87.3</x:v>
      </x:c>
      <x:c r="I11" s="25" t="n">
        <x:v>-0.01599993109244502</x:v>
      </x:c>
      <x:c r="J11" s="24" t="n">
        <x:f>ROUND(E11-F11,1)</x:f>
        <x:v>127.1</x:v>
      </x:c>
      <x:c r="K11" s="23" t="str">
        <x:v>中证500</x:v>
      </x:c>
    </x:row>
    <x:row r="12">
      <x:c r="A12" s="23" t="n">
        <x:v>8</x:v>
      </x:c>
      <x:c r="B12" s="23" t="str">
        <x:v>周一</x:v>
      </x:c>
      <x:c r="C12" s="23" t="str">
        <x:v>1月13日</x:v>
      </x:c>
      <x:c r="D12" s="24" t="n">
        <x:v>5319.701</x:v>
      </x:c>
      <x:c r="E12" s="24" t="n">
        <x:v>5422.012</x:v>
      </x:c>
      <x:c r="F12" s="24" t="n">
        <x:v>5319.274</x:v>
      </x:c>
      <x:c r="G12" s="24" t="n">
        <x:v>5381.697</x:v>
      </x:c>
      <x:c r="H12" s="24" t="n">
        <x:v>12.4</x:v>
      </x:c>
      <x:c r="I12" s="25" t="n">
        <x:v>0.002312413896758292</x:v>
      </x:c>
      <x:c r="J12" s="24" t="n">
        <x:f>ROUND(E12-F12,1)</x:f>
        <x:v>102.7</x:v>
      </x:c>
      <x:c r="K12" s="23" t="str">
        <x:v>中证500</x:v>
      </x:c>
    </x:row>
    <x:row r="13">
      <x:c r="A13" s="23" t="n">
        <x:v>9</x:v>
      </x:c>
      <x:c r="B13" s="23" t="str">
        <x:v>周二</x:v>
      </x:c>
      <x:c r="C13" s="23" t="str">
        <x:v>1月14日</x:v>
      </x:c>
      <x:c r="D13" s="24" t="n">
        <x:v>5393.763</x:v>
      </x:c>
      <x:c r="E13" s="24" t="n">
        <x:v>5582.835</x:v>
      </x:c>
      <x:c r="F13" s="24" t="n">
        <x:v>5378.588</x:v>
      </x:c>
      <x:c r="G13" s="24" t="n">
        <x:v>5572.272</x:v>
      </x:c>
      <x:c r="H13" s="27" t="n">
        <x:v>190.6</x:v>
      </x:c>
      <x:c r="I13" s="25" t="n">
        <x:v>0.03541169263152488</x:v>
      </x:c>
      <x:c r="J13" s="29" t="n">
        <x:f>ROUND(E13-F13,1)</x:f>
        <x:v>204.2</x:v>
      </x:c>
      <x:c r="K13" s="23" t="str">
        <x:v>中证500</x:v>
      </x:c>
    </x:row>
    <x:row r="14">
      <x:c r="A14" s="23" t="n">
        <x:v>10</x:v>
      </x:c>
      <x:c r="B14" s="23" t="str">
        <x:v>周三</x:v>
      </x:c>
      <x:c r="C14" s="23" t="str">
        <x:v>1月15日</x:v>
      </x:c>
      <x:c r="D14" s="24" t="n">
        <x:v>5559.579</x:v>
      </x:c>
      <x:c r="E14" s="24" t="n">
        <x:v>5569.19</x:v>
      </x:c>
      <x:c r="F14" s="24" t="n">
        <x:v>5509.576</x:v>
      </x:c>
      <x:c r="G14" s="24" t="n">
        <x:v>5522.459</x:v>
      </x:c>
      <x:c r="H14" s="24" t="n">
        <x:v>-49.8</x:v>
      </x:c>
      <x:c r="I14" s="25" t="n">
        <x:v>-0.008939441577869855</x:v>
      </x:c>
      <x:c r="J14" s="24" t="n">
        <x:f>ROUND(E14-F14,1)</x:f>
        <x:v>59.6</x:v>
      </x:c>
      <x:c r="K14" s="23" t="str">
        <x:v>中证500</x:v>
      </x:c>
    </x:row>
    <x:row r="15">
      <x:c r="A15" s="23" t="n">
        <x:v>11</x:v>
      </x:c>
      <x:c r="B15" s="23" t="str">
        <x:v>周四</x:v>
      </x:c>
      <x:c r="C15" s="23" t="str">
        <x:v>1月16日</x:v>
      </x:c>
      <x:c r="D15" s="24" t="n">
        <x:v>5546.7</x:v>
      </x:c>
      <x:c r="E15" s="24" t="n">
        <x:v>5633.855</x:v>
      </x:c>
      <x:c r="F15" s="24" t="n">
        <x:v>5508.915</x:v>
      </x:c>
      <x:c r="G15" s="24" t="n">
        <x:v>5545.634</x:v>
      </x:c>
      <x:c r="H15" s="24" t="n">
        <x:v>23.2</x:v>
      </x:c>
      <x:c r="I15" s="25" t="n">
        <x:v>0.004196500146040005</x:v>
      </x:c>
      <x:c r="J15" s="24" t="n">
        <x:f>ROUND(E15-F15,1)</x:f>
        <x:v>124.9</x:v>
      </x:c>
      <x:c r="K15" s="23" t="str">
        <x:v>中证500</x:v>
      </x:c>
    </x:row>
    <x:row r="16">
      <x:c r="A16" s="33" t="n">
        <x:v>12</x:v>
      </x:c>
      <x:c r="B16" s="33" t="str">
        <x:v>周五</x:v>
      </x:c>
      <x:c r="C16" s="33" t="str">
        <x:v>1月17日</x:v>
      </x:c>
      <x:c r="D16" s="34" t="n">
        <x:v>5524.205</x:v>
      </x:c>
      <x:c r="E16" s="34" t="n">
        <x:v>5621.937</x:v>
      </x:c>
      <x:c r="F16" s="34" t="n">
        <x:v>5519.411</x:v>
      </x:c>
      <x:c r="G16" s="34" t="n">
        <x:v>5587.294</x:v>
      </x:c>
      <x:c r="H16" s="34" t="n">
        <x:v>41.7</x:v>
      </x:c>
      <x:c r="I16" s="35" t="n">
        <x:v>0.0075122159161602475</x:v>
      </x:c>
      <x:c r="J16" s="34" t="n">
        <x:f>ROUND(E16-F16,1)</x:f>
        <x:v>102.5</x:v>
      </x:c>
      <x:c r="K16" s="33" t="str">
        <x:v>中证500</x:v>
      </x:c>
    </x:row>
    <x:row r="17">
      <x:c r="A17" s="23" t="n">
        <x:v>13</x:v>
      </x:c>
      <x:c r="B17" s="23" t="str">
        <x:v>周一</x:v>
      </x:c>
      <x:c r="C17" s="23" t="str">
        <x:v>1月20日</x:v>
      </x:c>
      <x:c r="D17" s="24" t="n">
        <x:v>5621.925</x:v>
      </x:c>
      <x:c r="E17" s="24" t="n">
        <x:v>5665.183</x:v>
      </x:c>
      <x:c r="F17" s="24" t="n">
        <x:v>5598.158</x:v>
      </x:c>
      <x:c r="G17" s="24" t="n">
        <x:v>5614.331</x:v>
      </x:c>
      <x:c r="H17" s="24" t="n">
        <x:v>27</x:v>
      </x:c>
      <x:c r="I17" s="25" t="n">
        <x:v>0.0048390150938899534</x:v>
      </x:c>
      <x:c r="J17" s="24" t="n">
        <x:f>ROUND(E17-F17,1)</x:f>
        <x:v>67</x:v>
      </x:c>
      <x:c r="K17" s="23" t="str">
        <x:v>中证500</x:v>
      </x:c>
    </x:row>
    <x:row r="18">
      <x:c r="A18" s="23" t="n">
        <x:v>14</x:v>
      </x:c>
      <x:c r="B18" s="23" t="str">
        <x:v>周二</x:v>
      </x:c>
      <x:c r="C18" s="23" t="str">
        <x:v>1月21日</x:v>
      </x:c>
      <x:c r="D18" s="24" t="n">
        <x:v>5639.604</x:v>
      </x:c>
      <x:c r="E18" s="24" t="n">
        <x:v>5642.917</x:v>
      </x:c>
      <x:c r="F18" s="24" t="n">
        <x:v>5573.5</x:v>
      </x:c>
      <x:c r="G18" s="24" t="n">
        <x:v>5633.925</x:v>
      </x:c>
      <x:c r="H18" s="24" t="n">
        <x:v>19.6</x:v>
      </x:c>
      <x:c r="I18" s="25" t="n">
        <x:v>0.0034899972944237856</x:v>
      </x:c>
      <x:c r="J18" s="24" t="n">
        <x:f>ROUND(E18-F18,1)</x:f>
        <x:v>69.4</x:v>
      </x:c>
      <x:c r="K18" s="23" t="str">
        <x:v>中证500</x:v>
      </x:c>
    </x:row>
    <x:row r="19">
      <x:c r="A19" s="23" t="n">
        <x:v>15</x:v>
      </x:c>
      <x:c r="B19" s="23" t="str">
        <x:v>周三</x:v>
      </x:c>
      <x:c r="C19" s="23" t="str">
        <x:v>1月22日</x:v>
      </x:c>
      <x:c r="D19" s="24" t="n">
        <x:v>5606.847</x:v>
      </x:c>
      <x:c r="E19" s="24" t="n">
        <x:v>5618.581</x:v>
      </x:c>
      <x:c r="F19" s="24" t="n">
        <x:v>5567.779</x:v>
      </x:c>
      <x:c r="G19" s="24" t="n">
        <x:v>5607.059</x:v>
      </x:c>
      <x:c r="H19" s="24" t="n">
        <x:v>-26.9</x:v>
      </x:c>
      <x:c r="I19" s="25" t="n">
        <x:v>-0.004768611580736382</x:v>
      </x:c>
      <x:c r="J19" s="24" t="n">
        <x:f>ROUND(E19-F19,1)</x:f>
        <x:v>50.8</x:v>
      </x:c>
      <x:c r="K19" s="23" t="str">
        <x:v>中证500</x:v>
      </x:c>
    </x:row>
    <x:row r="20">
      <x:c r="A20" s="23" t="n">
        <x:v>16</x:v>
      </x:c>
      <x:c r="B20" s="23" t="str">
        <x:v>周四</x:v>
      </x:c>
      <x:c r="C20" s="23" t="str">
        <x:v>1月23日</x:v>
      </x:c>
      <x:c r="D20" s="24" t="n">
        <x:v>5659.369</x:v>
      </x:c>
      <x:c r="E20" s="24" t="n">
        <x:v>5717.689</x:v>
      </x:c>
      <x:c r="F20" s="24" t="n">
        <x:v>5584.255</x:v>
      </x:c>
      <x:c r="G20" s="24" t="n">
        <x:v>5584.255</x:v>
      </x:c>
      <x:c r="H20" s="24" t="n">
        <x:v>-22.8</x:v>
      </x:c>
      <x:c r="I20" s="25" t="n">
        <x:v>-0.004067016237924381</x:v>
      </x:c>
      <x:c r="J20" s="24" t="n">
        <x:f>ROUND(E20-F20,1)</x:f>
        <x:v>133.4</x:v>
      </x:c>
      <x:c r="K20" s="23" t="str">
        <x:v>中证500</x:v>
      </x:c>
    </x:row>
    <x:row r="21">
      <x:c r="A21" s="23" t="n">
        <x:v>17</x:v>
      </x:c>
      <x:c r="B21" s="23" t="str">
        <x:v>周五</x:v>
      </x:c>
      <x:c r="C21" s="23" t="str">
        <x:v>1月24日</x:v>
      </x:c>
      <x:c r="D21" s="24" t="n">
        <x:v>5570.48</x:v>
      </x:c>
      <x:c r="E21" s="24" t="n">
        <x:v>5660.434</x:v>
      </x:c>
      <x:c r="F21" s="24" t="n">
        <x:v>5570.48</x:v>
      </x:c>
      <x:c r="G21" s="24" t="n">
        <x:v>5649.95</x:v>
      </x:c>
      <x:c r="H21" s="24" t="n">
        <x:v>65.7</x:v>
      </x:c>
      <x:c r="I21" s="25" t="n">
        <x:v>0.011764326664881919</x:v>
      </x:c>
      <x:c r="J21" s="24" t="n">
        <x:f>ROUND(E21-F21,1)</x:f>
        <x:v>90</x:v>
      </x:c>
      <x:c r="K21" s="23" t="str">
        <x:v>中证500</x:v>
      </x:c>
    </x:row>
    <x:row r="22">
      <x:c r="A22" s="23" t="n">
        <x:v>18</x:v>
      </x:c>
      <x:c r="B22" s="23" t="str">
        <x:v>周一</x:v>
      </x:c>
      <x:c r="C22" s="23" t="str">
        <x:v>1月27日</x:v>
      </x:c>
      <x:c r="D22" s="24" t="n">
        <x:v>5660.485</x:v>
      </x:c>
      <x:c r="E22" s="24" t="n">
        <x:v>5676.026</x:v>
      </x:c>
      <x:c r="F22" s="24" t="n">
        <x:v>5589.343</x:v>
      </x:c>
      <x:c r="G22" s="24" t="n">
        <x:v>5589.343</x:v>
      </x:c>
      <x:c r="H22" s="24" t="n">
        <x:v>-60.6</x:v>
      </x:c>
      <x:c r="I22" s="25" t="n">
        <x:v>-0.01072699758404938</x:v>
      </x:c>
      <x:c r="J22" s="24" t="n">
        <x:f>ROUND(E22-F22,1)</x:f>
        <x:v>86.7</x:v>
      </x:c>
      <x:c r="K22" s="23" t="str">
        <x:v>中证500</x:v>
      </x:c>
    </x:row>
    <x:row r="23">
      <x:c r="A23" s="38" t="str">
        <x:v>合计</x:v>
      </x:c>
      <x:c r="B23" s="37" t="n">
        <x:v>18</x:v>
      </x:c>
      <x:c r="C23" s="37"/>
      <x:c r="D23" s="37"/>
      <x:c r="E23" s="37"/>
      <x:c r="F23" s="37"/>
      <x:c r="G23" s="37"/>
      <x:c r="H23" s="37"/>
      <x:c r="I23" s="37"/>
      <x:c r="J23" s="39" t="n">
        <x:f>ROUND(SUM(J5:J22),1)</x:f>
        <x:v>2013.8</x:v>
      </x:c>
      <x:c r="K23" s="37"/>
    </x:row>
    <x:row r="24">
      <x:c r="A24" s="38" t="str">
        <x:v>均值</x:v>
      </x:c>
      <x:c r="B24" s="37"/>
      <x:c r="C24" s="37"/>
      <x:c r="D24" s="37"/>
      <x:c r="E24" s="37"/>
      <x:c r="F24" s="37"/>
      <x:c r="G24" s="37"/>
      <x:c r="H24" s="37"/>
      <x:c r="I24" s="37"/>
      <x:c r="J24" s="41" t="n">
        <x:f>ROUND(IFERROR(AVERAGE(J5:J22),0),1)</x:f>
        <x:v>111.9</x:v>
      </x:c>
      <x:c r="K24" s="37"/>
    </x:row>
    <x:row r="26">
      <x:c r="A26" s="17" t="str">
        <x:v>2月</x:v>
      </x:c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</x:row>
    <x:row r="27">
      <x:c r="A27" s="20" t="str">
        <x:v>序号</x:v>
      </x:c>
      <x:c r="B27" s="20" t="str">
        <x:v>星期</x:v>
      </x:c>
      <x:c r="C27" s="20" t="str">
        <x:v>日期</x:v>
      </x:c>
      <x:c r="D27" s="20" t="str">
        <x:v>开盘</x:v>
      </x:c>
      <x:c r="E27" s="20" t="str">
        <x:v>高点</x:v>
      </x:c>
      <x:c r="F27" s="20" t="str">
        <x:v>低点</x:v>
      </x:c>
      <x:c r="G27" s="20" t="str">
        <x:v>收盘</x:v>
      </x:c>
      <x:c r="H27" s="20" t="str">
        <x:v>涨跌点数</x:v>
      </x:c>
      <x:c r="I27" s="20" t="str">
        <x:v>涨幅</x:v>
      </x:c>
      <x:c r="J27" s="20" t="str">
        <x:v>振幅</x:v>
      </x:c>
      <x:c r="K27" s="20" t="str">
        <x:v>标的</x:v>
      </x:c>
    </x:row>
    <x:row r="28">
      <x:c r="A28" s="23" t="n">
        <x:v>1</x:v>
      </x:c>
      <x:c r="B28" s="23" t="str">
        <x:v>周三</x:v>
      </x:c>
      <x:c r="C28" s="23" t="str">
        <x:v>2月5日</x:v>
      </x:c>
      <x:c r="D28" s="24" t="n">
        <x:v>5643.175</x:v>
      </x:c>
      <x:c r="E28" s="24" t="n">
        <x:v>5646.037</x:v>
      </x:c>
      <x:c r="F28" s="24" t="n">
        <x:v>5588.556</x:v>
      </x:c>
      <x:c r="G28" s="24" t="n">
        <x:v>5614.387</x:v>
      </x:c>
      <x:c r="H28" s="24" t="n">
        <x:v>25</x:v>
      </x:c>
      <x:c r="I28" s="25" t="n">
        <x:v>0.004480669731666165</x:v>
      </x:c>
      <x:c r="J28" s="24" t="n">
        <x:f>ROUND(E28-F28,1)</x:f>
        <x:v>57.5</x:v>
      </x:c>
      <x:c r="K28" s="23" t="str">
        <x:v>中证500</x:v>
      </x:c>
    </x:row>
    <x:row r="29">
      <x:c r="A29" s="23" t="n">
        <x:v>2</x:v>
      </x:c>
      <x:c r="B29" s="23" t="str">
        <x:v>周四</x:v>
      </x:c>
      <x:c r="C29" s="23" t="str">
        <x:v>2月6日</x:v>
      </x:c>
      <x:c r="D29" s="24" t="n">
        <x:v>5606.871</x:v>
      </x:c>
      <x:c r="E29" s="24" t="n">
        <x:v>5749.023</x:v>
      </x:c>
      <x:c r="F29" s="24" t="n">
        <x:v>5597.325</x:v>
      </x:c>
      <x:c r="G29" s="24" t="n">
        <x:v>5747.901</x:v>
      </x:c>
      <x:c r="H29" s="24" t="n">
        <x:v>133.5</x:v>
      </x:c>
      <x:c r="I29" s="25" t="n">
        <x:v>0.023780690572274388</x:v>
      </x:c>
      <x:c r="J29" s="24" t="n">
        <x:f>ROUND(E29-F29,1)</x:f>
        <x:v>151.7</x:v>
      </x:c>
      <x:c r="K29" s="23" t="str">
        <x:v>中证500</x:v>
      </x:c>
    </x:row>
    <x:row r="30">
      <x:c r="A30" s="23" t="n">
        <x:v>3</x:v>
      </x:c>
      <x:c r="B30" s="23" t="str">
        <x:v>周五</x:v>
      </x:c>
      <x:c r="C30" s="23" t="str">
        <x:v>2月7日</x:v>
      </x:c>
      <x:c r="D30" s="24" t="n">
        <x:v>5750.289</x:v>
      </x:c>
      <x:c r="E30" s="24" t="n">
        <x:v>5889.428</x:v>
      </x:c>
      <x:c r="F30" s="24" t="n">
        <x:v>5741.733</x:v>
      </x:c>
      <x:c r="G30" s="24" t="n">
        <x:v>5833.988</x:v>
      </x:c>
      <x:c r="H30" s="24" t="n">
        <x:v>86.1</x:v>
      </x:c>
      <x:c r="I30" s="25" t="n">
        <x:v>0.014977119473700062</x:v>
      </x:c>
      <x:c r="J30" s="24" t="n">
        <x:f>ROUND(E30-F30,1)</x:f>
        <x:v>147.7</x:v>
      </x:c>
      <x:c r="K30" s="23" t="str">
        <x:v>中证500</x:v>
      </x:c>
    </x:row>
    <x:row r="31">
      <x:c r="A31" s="23" t="n">
        <x:v>4</x:v>
      </x:c>
      <x:c r="B31" s="23" t="str">
        <x:v>周一</x:v>
      </x:c>
      <x:c r="C31" s="23" t="str">
        <x:v>2月10日</x:v>
      </x:c>
      <x:c r="D31" s="24" t="n">
        <x:v>5858.243</x:v>
      </x:c>
      <x:c r="E31" s="24" t="n">
        <x:v>5895.406</x:v>
      </x:c>
      <x:c r="F31" s="24" t="n">
        <x:v>5836.171</x:v>
      </x:c>
      <x:c r="G31" s="24" t="n">
        <x:v>5888.551</x:v>
      </x:c>
      <x:c r="H31" s="24" t="n">
        <x:v>54.6</x:v>
      </x:c>
      <x:c r="I31" s="25" t="n">
        <x:v>0.00935260751307676</x:v>
      </x:c>
      <x:c r="J31" s="24" t="n">
        <x:f>ROUND(E31-F31,1)</x:f>
        <x:v>59.2</x:v>
      </x:c>
      <x:c r="K31" s="23" t="str">
        <x:v>中证500</x:v>
      </x:c>
    </x:row>
    <x:row r="32">
      <x:c r="A32" s="23" t="n">
        <x:v>5</x:v>
      </x:c>
      <x:c r="B32" s="23" t="str">
        <x:v>周二</x:v>
      </x:c>
      <x:c r="C32" s="23" t="str">
        <x:v>2月11日</x:v>
      </x:c>
      <x:c r="D32" s="24" t="n">
        <x:v>5890.373</x:v>
      </x:c>
      <x:c r="E32" s="24" t="n">
        <x:v>5890.373</x:v>
      </x:c>
      <x:c r="F32" s="24" t="n">
        <x:v>5827.378</x:v>
      </x:c>
      <x:c r="G32" s="24" t="n">
        <x:v>5858.281</x:v>
      </x:c>
      <x:c r="H32" s="24" t="n">
        <x:v>-30.3</x:v>
      </x:c>
      <x:c r="I32" s="25" t="n">
        <x:v>-0.005140483626617232</x:v>
      </x:c>
      <x:c r="J32" s="24" t="n">
        <x:f>ROUND(E32-F32,1)</x:f>
        <x:v>63</x:v>
      </x:c>
      <x:c r="K32" s="23" t="str">
        <x:v>中证500</x:v>
      </x:c>
    </x:row>
    <x:row r="33">
      <x:c r="A33" s="23" t="n">
        <x:v>6</x:v>
      </x:c>
      <x:c r="B33" s="23" t="str">
        <x:v>周三</x:v>
      </x:c>
      <x:c r="C33" s="23" t="str">
        <x:v>2月12日</x:v>
      </x:c>
      <x:c r="D33" s="24" t="n">
        <x:v>5841.362</x:v>
      </x:c>
      <x:c r="E33" s="24" t="n">
        <x:v>5940.537</x:v>
      </x:c>
      <x:c r="F33" s="24" t="n">
        <x:v>5841.319</x:v>
      </x:c>
      <x:c r="G33" s="24" t="n">
        <x:v>5940.53</x:v>
      </x:c>
      <x:c r="H33" s="24" t="n">
        <x:v>82.2</x:v>
      </x:c>
      <x:c r="I33" s="25" t="n">
        <x:v>0.014039784025382085</x:v>
      </x:c>
      <x:c r="J33" s="24" t="n">
        <x:f>ROUND(E33-F33,1)</x:f>
        <x:v>99.2</x:v>
      </x:c>
      <x:c r="K33" s="23" t="str">
        <x:v>中证500</x:v>
      </x:c>
    </x:row>
    <x:row r="34">
      <x:c r="A34" s="23" t="n">
        <x:v>7</x:v>
      </x:c>
      <x:c r="B34" s="23" t="str">
        <x:v>周四</x:v>
      </x:c>
      <x:c r="C34" s="23" t="str">
        <x:v>2月13日</x:v>
      </x:c>
      <x:c r="D34" s="24" t="n">
        <x:v>5938.203</x:v>
      </x:c>
      <x:c r="E34" s="24" t="n">
        <x:v>5957.58</x:v>
      </x:c>
      <x:c r="F34" s="24" t="n">
        <x:v>5889.695</x:v>
      </x:c>
      <x:c r="G34" s="24" t="n">
        <x:v>5898.261</x:v>
      </x:c>
      <x:c r="H34" s="24" t="n">
        <x:v>-42.3</x:v>
      </x:c>
      <x:c r="I34" s="25" t="n">
        <x:v>-0.007115358393947946</x:v>
      </x:c>
      <x:c r="J34" s="24" t="n">
        <x:f>ROUND(E34-F34,1)</x:f>
        <x:v>67.9</x:v>
      </x:c>
      <x:c r="K34" s="23" t="str">
        <x:v>中证500</x:v>
      </x:c>
    </x:row>
    <x:row r="35">
      <x:c r="A35" s="23" t="n">
        <x:v>8</x:v>
      </x:c>
      <x:c r="B35" s="23" t="str">
        <x:v>周五</x:v>
      </x:c>
      <x:c r="C35" s="23" t="str">
        <x:v>2月14日</x:v>
      </x:c>
      <x:c r="D35" s="24" t="n">
        <x:v>5893.934</x:v>
      </x:c>
      <x:c r="E35" s="24" t="n">
        <x:v>5954.477</x:v>
      </x:c>
      <x:c r="F35" s="24" t="n">
        <x:v>5886.95</x:v>
      </x:c>
      <x:c r="G35" s="24" t="n">
        <x:v>5947.796</x:v>
      </x:c>
      <x:c r="H35" s="24" t="n">
        <x:v>49.5</x:v>
      </x:c>
      <x:c r="I35" s="25" t="n">
        <x:v>0.00839823805694584</x:v>
      </x:c>
      <x:c r="J35" s="24" t="n">
        <x:f>ROUND(E35-F35,1)</x:f>
        <x:v>67.5</x:v>
      </x:c>
      <x:c r="K35" s="23" t="str">
        <x:v>中证500</x:v>
      </x:c>
    </x:row>
    <x:row r="36">
      <x:c r="A36" s="23" t="n">
        <x:v>9</x:v>
      </x:c>
      <x:c r="B36" s="23" t="str">
        <x:v>周一</x:v>
      </x:c>
      <x:c r="C36" s="23" t="str">
        <x:v>2月17日</x:v>
      </x:c>
      <x:c r="D36" s="24" t="n">
        <x:v>5979.845</x:v>
      </x:c>
      <x:c r="E36" s="24" t="n">
        <x:v>5985.364</x:v>
      </x:c>
      <x:c r="F36" s="24" t="n">
        <x:v>5906.266</x:v>
      </x:c>
      <x:c r="G36" s="24" t="n">
        <x:v>5948.72</x:v>
      </x:c>
      <x:c r="H36" s="24" t="n">
        <x:v>0.9</x:v>
      </x:c>
      <x:c r="I36" s="25" t="n">
        <x:v>0.00015535166303615178</x:v>
      </x:c>
      <x:c r="J36" s="24" t="n">
        <x:f>ROUND(E36-F36,1)</x:f>
        <x:v>79.1</x:v>
      </x:c>
      <x:c r="K36" s="23" t="str">
        <x:v>中证500</x:v>
      </x:c>
    </x:row>
    <x:row r="37">
      <x:c r="A37" s="23" t="n">
        <x:v>10</x:v>
      </x:c>
      <x:c r="B37" s="23" t="str">
        <x:v>周二</x:v>
      </x:c>
      <x:c r="C37" s="23" t="str">
        <x:v>2月18日</x:v>
      </x:c>
      <x:c r="D37" s="24" t="n">
        <x:v>5935.499</x:v>
      </x:c>
      <x:c r="E37" s="24" t="n">
        <x:v>5947.934</x:v>
      </x:c>
      <x:c r="F37" s="24" t="n">
        <x:v>5816.051</x:v>
      </x:c>
      <x:c r="G37" s="24" t="n">
        <x:v>5840.711</x:v>
      </x:c>
      <x:c r="H37" s="24" t="n">
        <x:v>-108</x:v>
      </x:c>
      <x:c r="I37" s="25" t="n">
        <x:v>-0.018156679083903726</x:v>
      </x:c>
      <x:c r="J37" s="24" t="n">
        <x:f>ROUND(E37-F37,1)</x:f>
        <x:v>131.9</x:v>
      </x:c>
      <x:c r="K37" s="23" t="str">
        <x:v>中证500</x:v>
      </x:c>
    </x:row>
    <x:row r="38">
      <x:c r="A38" s="23" t="n">
        <x:v>11</x:v>
      </x:c>
      <x:c r="B38" s="23" t="str">
        <x:v>周三</x:v>
      </x:c>
      <x:c r="C38" s="23" t="str">
        <x:v>2月19日</x:v>
      </x:c>
      <x:c r="D38" s="24" t="n">
        <x:v>5834.955</x:v>
      </x:c>
      <x:c r="E38" s="24" t="n">
        <x:v>5945.346</x:v>
      </x:c>
      <x:c r="F38" s="24" t="n">
        <x:v>5831.482</x:v>
      </x:c>
      <x:c r="G38" s="24" t="n">
        <x:v>5943.882</x:v>
      </x:c>
      <x:c r="H38" s="24" t="n">
        <x:v>103.2</x:v>
      </x:c>
      <x:c r="I38" s="25" t="n">
        <x:v>0.017664116577587707</x:v>
      </x:c>
      <x:c r="J38" s="24" t="n">
        <x:f>ROUND(E38-F38,1)</x:f>
        <x:v>113.9</x:v>
      </x:c>
      <x:c r="K38" s="23" t="str">
        <x:v>中证500</x:v>
      </x:c>
    </x:row>
    <x:row r="39">
      <x:c r="A39" s="23" t="n">
        <x:v>12</x:v>
      </x:c>
      <x:c r="B39" s="23" t="str">
        <x:v>周四</x:v>
      </x:c>
      <x:c r="C39" s="23" t="str">
        <x:v>2月20日</x:v>
      </x:c>
      <x:c r="D39" s="24" t="n">
        <x:v>5941.599</x:v>
      </x:c>
      <x:c r="E39" s="24" t="n">
        <x:v>5977.73</x:v>
      </x:c>
      <x:c r="F39" s="24" t="n">
        <x:v>5920.568</x:v>
      </x:c>
      <x:c r="G39" s="24" t="n">
        <x:v>5957.547</x:v>
      </x:c>
      <x:c r="H39" s="24" t="n">
        <x:v>13.7</x:v>
      </x:c>
      <x:c r="I39" s="25" t="n">
        <x:v>0.002299002571046982</x:v>
      </x:c>
      <x:c r="J39" s="24" t="n">
        <x:f>ROUND(E39-F39,1)</x:f>
        <x:v>57.2</x:v>
      </x:c>
      <x:c r="K39" s="23" t="str">
        <x:v>中证500</x:v>
      </x:c>
    </x:row>
    <x:row r="40">
      <x:c r="A40" s="33" t="n">
        <x:v>13</x:v>
      </x:c>
      <x:c r="B40" s="33" t="str">
        <x:v>周五</x:v>
      </x:c>
      <x:c r="C40" s="33" t="str">
        <x:v>2月21日</x:v>
      </x:c>
      <x:c r="D40" s="34" t="n">
        <x:v>5969.646</x:v>
      </x:c>
      <x:c r="E40" s="34" t="n">
        <x:v>6061.824</x:v>
      </x:c>
      <x:c r="F40" s="34" t="n">
        <x:v>5943.195</x:v>
      </x:c>
      <x:c r="G40" s="34" t="n">
        <x:v>6057.065</x:v>
      </x:c>
      <x:c r="H40" s="34" t="n">
        <x:v>99.5</x:v>
      </x:c>
      <x:c r="I40" s="35" t="n">
        <x:v>0.016704526208521697</x:v>
      </x:c>
      <x:c r="J40" s="34" t="n">
        <x:f>ROUND(E40-F40,1)</x:f>
        <x:v>118.6</x:v>
      </x:c>
      <x:c r="K40" s="33" t="str">
        <x:v>中证500</x:v>
      </x:c>
    </x:row>
    <x:row r="41">
      <x:c r="A41" s="23" t="n">
        <x:v>14</x:v>
      </x:c>
      <x:c r="B41" s="23" t="str">
        <x:v>周一</x:v>
      </x:c>
      <x:c r="C41" s="23" t="str">
        <x:v>2月24日</x:v>
      </x:c>
      <x:c r="D41" s="24" t="n">
        <x:v>6057.38</x:v>
      </x:c>
      <x:c r="E41" s="24" t="n">
        <x:v>6079.017</x:v>
      </x:c>
      <x:c r="F41" s="24" t="n">
        <x:v>6007.179</x:v>
      </x:c>
      <x:c r="G41" s="24" t="n">
        <x:v>6044.973</x:v>
      </x:c>
      <x:c r="H41" s="24" t="n">
        <x:v>-12.1</x:v>
      </x:c>
      <x:c r="I41" s="25" t="n">
        <x:v>-0.001996346415301775</x:v>
      </x:c>
      <x:c r="J41" s="24" t="n">
        <x:f>ROUND(E41-F41,1)</x:f>
        <x:v>71.8</x:v>
      </x:c>
      <x:c r="K41" s="23" t="str">
        <x:v>中证500</x:v>
      </x:c>
    </x:row>
    <x:row r="42">
      <x:c r="A42" s="23" t="n">
        <x:v>15</x:v>
      </x:c>
      <x:c r="B42" s="23" t="str">
        <x:v>周二</x:v>
      </x:c>
      <x:c r="C42" s="23" t="str">
        <x:v>2月25日</x:v>
      </x:c>
      <x:c r="D42" s="24" t="n">
        <x:v>5967.037</x:v>
      </x:c>
      <x:c r="E42" s="24" t="n">
        <x:v>6044.756</x:v>
      </x:c>
      <x:c r="F42" s="24" t="n">
        <x:v>5956.176</x:v>
      </x:c>
      <x:c r="G42" s="24" t="n">
        <x:v>5979.965</x:v>
      </x:c>
      <x:c r="H42" s="24" t="n">
        <x:v>-65</x:v>
      </x:c>
      <x:c r="I42" s="25" t="n">
        <x:v>-0.010754059612838596</x:v>
      </x:c>
      <x:c r="J42" s="24" t="n">
        <x:f>ROUND(E42-F42,1)</x:f>
        <x:v>88.6</x:v>
      </x:c>
      <x:c r="K42" s="23" t="str">
        <x:v>中证500</x:v>
      </x:c>
    </x:row>
    <x:row r="43">
      <x:c r="A43" s="23" t="n">
        <x:v>16</x:v>
      </x:c>
      <x:c r="B43" s="23" t="str">
        <x:v>周三</x:v>
      </x:c>
      <x:c r="C43" s="23" t="str">
        <x:v>2月26日</x:v>
      </x:c>
      <x:c r="D43" s="24" t="n">
        <x:v>5990.29</x:v>
      </x:c>
      <x:c r="E43" s="24" t="n">
        <x:v>6055.873</x:v>
      </x:c>
      <x:c r="F43" s="24" t="n">
        <x:v>5973.857</x:v>
      </x:c>
      <x:c r="G43" s="24" t="n">
        <x:v>6051.74</x:v>
      </x:c>
      <x:c r="H43" s="24" t="n">
        <x:v>71.8</x:v>
      </x:c>
      <x:c r="I43" s="25" t="n">
        <x:v>0.012002578610409875</x:v>
      </x:c>
      <x:c r="J43" s="24" t="n">
        <x:f>ROUND(E43-F43,1)</x:f>
        <x:v>82</x:v>
      </x:c>
      <x:c r="K43" s="23" t="str">
        <x:v>中证500</x:v>
      </x:c>
    </x:row>
    <x:row r="44">
      <x:c r="A44" s="23" t="n">
        <x:v>17</x:v>
      </x:c>
      <x:c r="B44" s="23" t="str">
        <x:v>周四</x:v>
      </x:c>
      <x:c r="C44" s="23" t="str">
        <x:v>2月27日</x:v>
      </x:c>
      <x:c r="D44" s="24" t="n">
        <x:v>6050.186</x:v>
      </x:c>
      <x:c r="E44" s="24" t="n">
        <x:v>6064.491</x:v>
      </x:c>
      <x:c r="F44" s="24" t="n">
        <x:v>5940.335</x:v>
      </x:c>
      <x:c r="G44" s="24" t="n">
        <x:v>6028.986</x:v>
      </x:c>
      <x:c r="H44" s="24" t="n">
        <x:v>-22.8</x:v>
      </x:c>
      <x:c r="I44" s="25" t="n">
        <x:v>-0.0037599103728844785</x:v>
      </x:c>
      <x:c r="J44" s="24" t="n">
        <x:f>ROUND(E44-F44,1)</x:f>
        <x:v>124.2</x:v>
      </x:c>
      <x:c r="K44" s="23" t="str">
        <x:v>中证500</x:v>
      </x:c>
    </x:row>
    <x:row r="45">
      <x:c r="A45" s="23" t="n">
        <x:v>18</x:v>
      </x:c>
      <x:c r="B45" s="23" t="str">
        <x:v>周五</x:v>
      </x:c>
      <x:c r="C45" s="23" t="str">
        <x:v>2月28日</x:v>
      </x:c>
      <x:c r="D45" s="24" t="n">
        <x:v>5997.918</x:v>
      </x:c>
      <x:c r="E45" s="24" t="n">
        <x:v>6007.472</x:v>
      </x:c>
      <x:c r="F45" s="24" t="n">
        <x:v>5847.151</x:v>
      </x:c>
      <x:c r="G45" s="24" t="n">
        <x:v>5859.871</x:v>
      </x:c>
      <x:c r="H45" s="27" t="n">
        <x:v>-169.1</x:v>
      </x:c>
      <x:c r="I45" s="25" t="n">
        <x:v>-0.028050322226656266</x:v>
      </x:c>
      <x:c r="J45" s="29" t="n">
        <x:f>ROUND(E45-F45,1)</x:f>
        <x:v>160.3</x:v>
      </x:c>
      <x:c r="K45" s="23" t="str">
        <x:v>中证500</x:v>
      </x:c>
    </x:row>
    <x:row r="46">
      <x:c r="A46" s="38" t="str">
        <x:v>合计</x:v>
      </x:c>
      <x:c r="B46" s="37" t="n">
        <x:v>18</x:v>
      </x:c>
      <x:c r="C46" s="37"/>
      <x:c r="D46" s="37"/>
      <x:c r="E46" s="37"/>
      <x:c r="F46" s="37"/>
      <x:c r="G46" s="37"/>
      <x:c r="H46" s="37"/>
      <x:c r="I46" s="37"/>
      <x:c r="J46" s="39" t="n">
        <x:f>ROUND(SUM(J28:J45),1)</x:f>
        <x:v>1741.3</x:v>
      </x:c>
      <x:c r="K46" s="37"/>
    </x:row>
    <x:row r="47">
      <x:c r="A47" s="38" t="str">
        <x:v>均值</x:v>
      </x:c>
      <x:c r="B47" s="37"/>
      <x:c r="C47" s="37"/>
      <x:c r="D47" s="37"/>
      <x:c r="E47" s="37"/>
      <x:c r="F47" s="37"/>
      <x:c r="G47" s="37"/>
      <x:c r="H47" s="37"/>
      <x:c r="I47" s="37"/>
      <x:c r="J47" s="41" t="n">
        <x:f>ROUND(IFERROR(AVERAGE(J28:J45),0),1)</x:f>
        <x:v>96.7</x:v>
      </x:c>
      <x:c r="K47" s="37"/>
    </x:row>
    <x:row r="49">
      <x:c r="A49" s="17" t="str">
        <x:v>3月</x:v>
      </x:c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</x:row>
    <x:row r="50">
      <x:c r="A50" s="20" t="str">
        <x:v>序号</x:v>
      </x:c>
      <x:c r="B50" s="20" t="str">
        <x:v>星期</x:v>
      </x:c>
      <x:c r="C50" s="20" t="str">
        <x:v>日期</x:v>
      </x:c>
      <x:c r="D50" s="20" t="str">
        <x:v>开盘</x:v>
      </x:c>
      <x:c r="E50" s="20" t="str">
        <x:v>高点</x:v>
      </x:c>
      <x:c r="F50" s="20" t="str">
        <x:v>低点</x:v>
      </x:c>
      <x:c r="G50" s="20" t="str">
        <x:v>收盘</x:v>
      </x:c>
      <x:c r="H50" s="20" t="str">
        <x:v>涨跌点数</x:v>
      </x:c>
      <x:c r="I50" s="20" t="str">
        <x:v>涨幅</x:v>
      </x:c>
      <x:c r="J50" s="20" t="str">
        <x:v>振幅</x:v>
      </x:c>
      <x:c r="K50" s="20" t="str">
        <x:v>标的</x:v>
      </x:c>
    </x:row>
    <x:row r="51">
      <x:c r="A51" s="23" t="n">
        <x:v>1</x:v>
      </x:c>
      <x:c r="B51" s="23" t="str">
        <x:v>周一</x:v>
      </x:c>
      <x:c r="C51" s="23" t="str">
        <x:v>3月3日</x:v>
      </x:c>
      <x:c r="D51" s="24" t="n">
        <x:v>5875.952</x:v>
      </x:c>
      <x:c r="E51" s="24" t="n">
        <x:v>5964.268</x:v>
      </x:c>
      <x:c r="F51" s="24" t="n">
        <x:v>5851.56</x:v>
      </x:c>
      <x:c r="G51" s="24" t="n">
        <x:v>5885.77</x:v>
      </x:c>
      <x:c r="H51" s="24" t="n">
        <x:v>25.9</x:v>
      </x:c>
      <x:c r="I51" s="25" t="n">
        <x:v>0.004419721867597426</x:v>
      </x:c>
      <x:c r="J51" s="24" t="n">
        <x:f>ROUND(E51-F51,1)</x:f>
        <x:v>112.7</x:v>
      </x:c>
      <x:c r="K51" s="23" t="str">
        <x:v>中证500</x:v>
      </x:c>
    </x:row>
    <x:row r="52">
      <x:c r="A52" s="23" t="n">
        <x:v>2</x:v>
      </x:c>
      <x:c r="B52" s="23" t="str">
        <x:v>周二</x:v>
      </x:c>
      <x:c r="C52" s="23" t="str">
        <x:v>3月4日</x:v>
      </x:c>
      <x:c r="D52" s="24" t="n">
        <x:v>5845.471</x:v>
      </x:c>
      <x:c r="E52" s="24" t="n">
        <x:v>5943.084</x:v>
      </x:c>
      <x:c r="F52" s="24" t="n">
        <x:v>5843.463</x:v>
      </x:c>
      <x:c r="G52" s="24" t="n">
        <x:v>5937.63</x:v>
      </x:c>
      <x:c r="H52" s="24" t="n">
        <x:v>51.9</x:v>
      </x:c>
      <x:c r="I52" s="25" t="n">
        <x:v>0.008811081642673635</x:v>
      </x:c>
      <x:c r="J52" s="24" t="n">
        <x:f>ROUND(E52-F52,1)</x:f>
        <x:v>99.6</x:v>
      </x:c>
      <x:c r="K52" s="23" t="str">
        <x:v>中证500</x:v>
      </x:c>
    </x:row>
    <x:row r="53">
      <x:c r="A53" s="23" t="n">
        <x:v>3</x:v>
      </x:c>
      <x:c r="B53" s="23" t="str">
        <x:v>周三</x:v>
      </x:c>
      <x:c r="C53" s="23" t="str">
        <x:v>3月5日</x:v>
      </x:c>
      <x:c r="D53" s="24" t="n">
        <x:v>5937.107</x:v>
      </x:c>
      <x:c r="E53" s="24" t="n">
        <x:v>5955.899</x:v>
      </x:c>
      <x:c r="F53" s="24" t="n">
        <x:v>5892.533</x:v>
      </x:c>
      <x:c r="G53" s="24" t="n">
        <x:v>5950.703</x:v>
      </x:c>
      <x:c r="H53" s="24" t="n">
        <x:v>13.1</x:v>
      </x:c>
      <x:c r="I53" s="25" t="n">
        <x:v>0.002201720214968006</x:v>
      </x:c>
      <x:c r="J53" s="24" t="n">
        <x:f>ROUND(E53-F53,1)</x:f>
        <x:v>63.4</x:v>
      </x:c>
      <x:c r="K53" s="23" t="str">
        <x:v>中证500</x:v>
      </x:c>
    </x:row>
    <x:row r="54">
      <x:c r="A54" s="23" t="n">
        <x:v>4</x:v>
      </x:c>
      <x:c r="B54" s="23" t="str">
        <x:v>周四</x:v>
      </x:c>
      <x:c r="C54" s="23" t="str">
        <x:v>3月6日</x:v>
      </x:c>
      <x:c r="D54" s="24" t="n">
        <x:v>5980.38</x:v>
      </x:c>
      <x:c r="E54" s="24" t="n">
        <x:v>6062.541</x:v>
      </x:c>
      <x:c r="F54" s="24" t="n">
        <x:v>5972.604</x:v>
      </x:c>
      <x:c r="G54" s="24" t="n">
        <x:v>6047.773</x:v>
      </x:c>
      <x:c r="H54" s="24" t="n">
        <x:v>97.1</x:v>
      </x:c>
      <x:c r="I54" s="25" t="n">
        <x:v>0.01631235838858025</x:v>
      </x:c>
      <x:c r="J54" s="24" t="n">
        <x:f>ROUND(E54-F54,1)</x:f>
        <x:v>89.9</x:v>
      </x:c>
      <x:c r="K54" s="23" t="str">
        <x:v>中证500</x:v>
      </x:c>
    </x:row>
    <x:row r="55">
      <x:c r="A55" s="23" t="n">
        <x:v>5</x:v>
      </x:c>
      <x:c r="B55" s="23" t="str">
        <x:v>周五</x:v>
      </x:c>
      <x:c r="C55" s="23" t="str">
        <x:v>3月7日</x:v>
      </x:c>
      <x:c r="D55" s="24" t="n">
        <x:v>6029.381</x:v>
      </x:c>
      <x:c r="E55" s="24" t="n">
        <x:v>6067.348</x:v>
      </x:c>
      <x:c r="F55" s="24" t="n">
        <x:v>5989.321</x:v>
      </x:c>
      <x:c r="G55" s="24" t="n">
        <x:v>6013.775</x:v>
      </x:c>
      <x:c r="H55" s="24" t="n">
        <x:v>-34</x:v>
      </x:c>
      <x:c r="I55" s="25" t="n">
        <x:v>-0.005621573428764681</x:v>
      </x:c>
      <x:c r="J55" s="24" t="n">
        <x:f>ROUND(E55-F55,1)</x:f>
        <x:v>78</x:v>
      </x:c>
      <x:c r="K55" s="23" t="str">
        <x:v>中证500</x:v>
      </x:c>
    </x:row>
    <x:row r="56">
      <x:c r="A56" s="23" t="n">
        <x:v>6</x:v>
      </x:c>
      <x:c r="B56" s="23" t="str">
        <x:v>周一</x:v>
      </x:c>
      <x:c r="C56" s="23" t="str">
        <x:v>3月10日</x:v>
      </x:c>
      <x:c r="D56" s="24" t="n">
        <x:v>6022.681</x:v>
      </x:c>
      <x:c r="E56" s="24" t="n">
        <x:v>6041.522</x:v>
      </x:c>
      <x:c r="F56" s="24" t="n">
        <x:v>5971.813</x:v>
      </x:c>
      <x:c r="G56" s="24" t="n">
        <x:v>6013.619</x:v>
      </x:c>
      <x:c r="H56" s="24" t="n">
        <x:v>-0.2</x:v>
      </x:c>
      <x:c r="I56" s="25" t="n">
        <x:v>-0.000025940445061545248</x:v>
      </x:c>
      <x:c r="J56" s="24" t="n">
        <x:f>ROUND(E56-F56,1)</x:f>
        <x:v>69.7</x:v>
      </x:c>
      <x:c r="K56" s="23" t="str">
        <x:v>中证500</x:v>
      </x:c>
    </x:row>
    <x:row r="57">
      <x:c r="A57" s="23" t="n">
        <x:v>7</x:v>
      </x:c>
      <x:c r="B57" s="23" t="str">
        <x:v>周二</x:v>
      </x:c>
      <x:c r="C57" s="23" t="str">
        <x:v>3月11日</x:v>
      </x:c>
      <x:c r="D57" s="24" t="n">
        <x:v>5944.42</x:v>
      </x:c>
      <x:c r="E57" s="24" t="n">
        <x:v>6044.974</x:v>
      </x:c>
      <x:c r="F57" s="24" t="n">
        <x:v>5942.912</x:v>
      </x:c>
      <x:c r="G57" s="24" t="n">
        <x:v>6044.974</x:v>
      </x:c>
      <x:c r="H57" s="24" t="n">
        <x:v>31.4</x:v>
      </x:c>
      <x:c r="I57" s="25" t="n">
        <x:v>0.005213998425906308</x:v>
      </x:c>
      <x:c r="J57" s="24" t="n">
        <x:f>ROUND(E57-F57,1)</x:f>
        <x:v>102.1</x:v>
      </x:c>
      <x:c r="K57" s="23" t="str">
        <x:v>中证500</x:v>
      </x:c>
    </x:row>
    <x:row r="58">
      <x:c r="A58" s="23" t="n">
        <x:v>8</x:v>
      </x:c>
      <x:c r="B58" s="23" t="str">
        <x:v>周三</x:v>
      </x:c>
      <x:c r="C58" s="23" t="str">
        <x:v>3月12日</x:v>
      </x:c>
      <x:c r="D58" s="24" t="n">
        <x:v>6068.376</x:v>
      </x:c>
      <x:c r="E58" s="24" t="n">
        <x:v>6098.235</x:v>
      </x:c>
      <x:c r="F58" s="24" t="n">
        <x:v>6038.822</x:v>
      </x:c>
      <x:c r="G58" s="24" t="n">
        <x:v>6040.497</x:v>
      </x:c>
      <x:c r="H58" s="24" t="n">
        <x:v>-4.5</x:v>
      </x:c>
      <x:c r="I58" s="25" t="n">
        <x:v>-0.0007406152615379025</x:v>
      </x:c>
      <x:c r="J58" s="24" t="n">
        <x:f>ROUND(E58-F58,1)</x:f>
        <x:v>59.4</x:v>
      </x:c>
      <x:c r="K58" s="23" t="str">
        <x:v>中证500</x:v>
      </x:c>
    </x:row>
    <x:row r="59">
      <x:c r="A59" s="23" t="n">
        <x:v>9</x:v>
      </x:c>
      <x:c r="B59" s="23" t="str">
        <x:v>周四</x:v>
      </x:c>
      <x:c r="C59" s="23" t="str">
        <x:v>3月13日</x:v>
      </x:c>
      <x:c r="D59" s="24" t="n">
        <x:v>6032.855</x:v>
      </x:c>
      <x:c r="E59" s="24" t="n">
        <x:v>6050.178</x:v>
      </x:c>
      <x:c r="F59" s="24" t="n">
        <x:v>5947.782</x:v>
      </x:c>
      <x:c r="G59" s="24" t="n">
        <x:v>5993.967</x:v>
      </x:c>
      <x:c r="H59" s="24" t="n">
        <x:v>-46.5</x:v>
      </x:c>
      <x:c r="I59" s="25" t="n">
        <x:v>-0.007703008543833545</x:v>
      </x:c>
      <x:c r="J59" s="24" t="n">
        <x:f>ROUND(E59-F59,1)</x:f>
        <x:v>102.4</x:v>
      </x:c>
      <x:c r="K59" s="23" t="str">
        <x:v>中证500</x:v>
      </x:c>
    </x:row>
    <x:row r="60">
      <x:c r="A60" s="23" t="n">
        <x:v>10</x:v>
      </x:c>
      <x:c r="B60" s="23" t="str">
        <x:v>周五</x:v>
      </x:c>
      <x:c r="C60" s="23" t="str">
        <x:v>3月14日</x:v>
      </x:c>
      <x:c r="D60" s="24" t="n">
        <x:v>5993.97</x:v>
      </x:c>
      <x:c r="E60" s="24" t="n">
        <x:v>6099.981</x:v>
      </x:c>
      <x:c r="F60" s="24" t="n">
        <x:v>5978.532</x:v>
      </x:c>
      <x:c r="G60" s="24" t="n">
        <x:v>6099.981</x:v>
      </x:c>
      <x:c r="H60" s="24" t="n">
        <x:v>106</x:v>
      </x:c>
      <x:c r="I60" s="25" t="n">
        <x:v>0.017686784061373695</x:v>
      </x:c>
      <x:c r="J60" s="24" t="n">
        <x:f>ROUND(E60-F60,1)</x:f>
        <x:v>121.4</x:v>
      </x:c>
      <x:c r="K60" s="23" t="str">
        <x:v>中证500</x:v>
      </x:c>
    </x:row>
    <x:row r="61">
      <x:c r="A61" s="23" t="n">
        <x:v>11</x:v>
      </x:c>
      <x:c r="B61" s="23" t="str">
        <x:v>周一</x:v>
      </x:c>
      <x:c r="C61" s="23" t="str">
        <x:v>3月17日</x:v>
      </x:c>
      <x:c r="D61" s="24" t="n">
        <x:v>6119.606</x:v>
      </x:c>
      <x:c r="E61" s="24" t="n">
        <x:v>6129.854</x:v>
      </x:c>
      <x:c r="F61" s="24" t="n">
        <x:v>6098.508</x:v>
      </x:c>
      <x:c r="G61" s="24" t="n">
        <x:v>6108.018</x:v>
      </x:c>
      <x:c r="H61" s="24" t="n">
        <x:v>8</x:v>
      </x:c>
      <x:c r="I61" s="25" t="n">
        <x:v>0.0013175450874356454</x:v>
      </x:c>
      <x:c r="J61" s="24" t="n">
        <x:f>ROUND(E61-F61,1)</x:f>
        <x:v>31.3</x:v>
      </x:c>
      <x:c r="K61" s="23" t="str">
        <x:v>中证500</x:v>
      </x:c>
    </x:row>
    <x:row r="62">
      <x:c r="A62" s="23" t="n">
        <x:v>12</x:v>
      </x:c>
      <x:c r="B62" s="23" t="str">
        <x:v>周二</x:v>
      </x:c>
      <x:c r="C62" s="23" t="str">
        <x:v>3月18日</x:v>
      </x:c>
      <x:c r="D62" s="24" t="n">
        <x:v>6126.036</x:v>
      </x:c>
      <x:c r="E62" s="24" t="n">
        <x:v>6161.228</x:v>
      </x:c>
      <x:c r="F62" s="24" t="n">
        <x:v>6114.206</x:v>
      </x:c>
      <x:c r="G62" s="24" t="n">
        <x:v>6133.302</x:v>
      </x:c>
      <x:c r="H62" s="24" t="n">
        <x:v>25.3</x:v>
      </x:c>
      <x:c r="I62" s="25" t="n">
        <x:v>0.004139476995647318</x:v>
      </x:c>
      <x:c r="J62" s="24" t="n">
        <x:f>ROUND(E62-F62,1)</x:f>
        <x:v>47</x:v>
      </x:c>
      <x:c r="K62" s="23" t="str">
        <x:v>中证500</x:v>
      </x:c>
    </x:row>
    <x:row r="63">
      <x:c r="A63" s="23" t="n">
        <x:v>13</x:v>
      </x:c>
      <x:c r="B63" s="23" t="str">
        <x:v>周三</x:v>
      </x:c>
      <x:c r="C63" s="23" t="str">
        <x:v>3月19日</x:v>
      </x:c>
      <x:c r="D63" s="24" t="n">
        <x:v>6117.423</x:v>
      </x:c>
      <x:c r="E63" s="24" t="n">
        <x:v>6128.23</x:v>
      </x:c>
      <x:c r="F63" s="24" t="n">
        <x:v>6076.564</x:v>
      </x:c>
      <x:c r="G63" s="24" t="n">
        <x:v>6101.437</x:v>
      </x:c>
      <x:c r="H63" s="24" t="n">
        <x:v>-31.9</x:v>
      </x:c>
      <x:c r="I63" s="25" t="n">
        <x:v>-0.005195406976535644</x:v>
      </x:c>
      <x:c r="J63" s="24" t="n">
        <x:f>ROUND(E63-F63,1)</x:f>
        <x:v>51.7</x:v>
      </x:c>
      <x:c r="K63" s="23" t="str">
        <x:v>中证500</x:v>
      </x:c>
    </x:row>
    <x:row r="64">
      <x:c r="A64" s="23" t="n">
        <x:v>14</x:v>
      </x:c>
      <x:c r="B64" s="23" t="str">
        <x:v>周四</x:v>
      </x:c>
      <x:c r="C64" s="23" t="str">
        <x:v>3月20日</x:v>
      </x:c>
      <x:c r="D64" s="24" t="n">
        <x:v>6094.843</x:v>
      </x:c>
      <x:c r="E64" s="24" t="n">
        <x:v>6109.183</x:v>
      </x:c>
      <x:c r="F64" s="24" t="n">
        <x:v>6055.381</x:v>
      </x:c>
      <x:c r="G64" s="24" t="n">
        <x:v>6059.486</x:v>
      </x:c>
      <x:c r="H64" s="24" t="n">
        <x:v>-42</x:v>
      </x:c>
      <x:c r="I64" s="25" t="n">
        <x:v>-0.006875593405291203</x:v>
      </x:c>
      <x:c r="J64" s="24" t="n">
        <x:f>ROUND(E64-F64,1)</x:f>
        <x:v>53.8</x:v>
      </x:c>
      <x:c r="K64" s="23" t="str">
        <x:v>中证500</x:v>
      </x:c>
    </x:row>
    <x:row r="65">
      <x:c r="A65" s="33" t="n">
        <x:v>15</x:v>
      </x:c>
      <x:c r="B65" s="33" t="str">
        <x:v>周五</x:v>
      </x:c>
      <x:c r="C65" s="33" t="str">
        <x:v>3月21日</x:v>
      </x:c>
      <x:c r="D65" s="34" t="n">
        <x:v>6038.99</x:v>
      </x:c>
      <x:c r="E65" s="34" t="n">
        <x:v>6071.085</x:v>
      </x:c>
      <x:c r="F65" s="34" t="n">
        <x:v>5951.795</x:v>
      </x:c>
      <x:c r="G65" s="34" t="n">
        <x:v>5971.93</x:v>
      </x:c>
      <x:c r="H65" s="34" t="n">
        <x:v>-87.6</x:v>
      </x:c>
      <x:c r="I65" s="35" t="n">
        <x:v>-0.014449410395535156</x:v>
      </x:c>
      <x:c r="J65" s="34" t="n">
        <x:f>ROUND(E65-F65,1)</x:f>
        <x:v>119.3</x:v>
      </x:c>
      <x:c r="K65" s="33" t="str">
        <x:v>中证500</x:v>
      </x:c>
    </x:row>
    <x:row r="66">
      <x:c r="A66" s="23" t="n">
        <x:v>16</x:v>
      </x:c>
      <x:c r="B66" s="23" t="str">
        <x:v>周一</x:v>
      </x:c>
      <x:c r="C66" s="23" t="str">
        <x:v>3月24日</x:v>
      </x:c>
      <x:c r="D66" s="24" t="n">
        <x:v>5973.047</x:v>
      </x:c>
      <x:c r="E66" s="24" t="n">
        <x:v>5987.061</x:v>
      </x:c>
      <x:c r="F66" s="24" t="n">
        <x:v>5882.878</x:v>
      </x:c>
      <x:c r="G66" s="24" t="n">
        <x:v>5969.079</x:v>
      </x:c>
      <x:c r="H66" s="24" t="n">
        <x:v>-2.9</x:v>
      </x:c>
      <x:c r="I66" s="25" t="n">
        <x:v>-0.0004774001034841824</x:v>
      </x:c>
      <x:c r="J66" s="24" t="n">
        <x:f>ROUND(E66-F66,1)</x:f>
        <x:v>104.2</x:v>
      </x:c>
      <x:c r="K66" s="23" t="str">
        <x:v>中证500</x:v>
      </x:c>
    </x:row>
    <x:row r="67">
      <x:c r="A67" s="23" t="n">
        <x:v>17</x:v>
      </x:c>
      <x:c r="B67" s="23" t="str">
        <x:v>周二</x:v>
      </x:c>
      <x:c r="C67" s="23" t="str">
        <x:v>3月25日</x:v>
      </x:c>
      <x:c r="D67" s="24" t="n">
        <x:v>5969.416</x:v>
      </x:c>
      <x:c r="E67" s="24" t="n">
        <x:v>5993.931</x:v>
      </x:c>
      <x:c r="F67" s="24" t="n">
        <x:v>5929.673</x:v>
      </x:c>
      <x:c r="G67" s="24" t="n">
        <x:v>5946.951</x:v>
      </x:c>
      <x:c r="H67" s="24" t="n">
        <x:v>-22.1</x:v>
      </x:c>
      <x:c r="I67" s="25" t="n">
        <x:v>-0.003707104563367314</x:v>
      </x:c>
      <x:c r="J67" s="24" t="n">
        <x:f>ROUND(E67-F67,1)</x:f>
        <x:v>64.3</x:v>
      </x:c>
      <x:c r="K67" s="23" t="str">
        <x:v>中证500</x:v>
      </x:c>
    </x:row>
    <x:row r="68">
      <x:c r="A68" s="23" t="n">
        <x:v>18</x:v>
      </x:c>
      <x:c r="B68" s="23" t="str">
        <x:v>周三</x:v>
      </x:c>
      <x:c r="C68" s="23" t="str">
        <x:v>3月26日</x:v>
      </x:c>
      <x:c r="D68" s="24" t="n">
        <x:v>5935.854</x:v>
      </x:c>
      <x:c r="E68" s="24" t="n">
        <x:v>5983.474</x:v>
      </x:c>
      <x:c r="F68" s="24" t="n">
        <x:v>5935.854</x:v>
      </x:c>
      <x:c r="G68" s="24" t="n">
        <x:v>5948.499</x:v>
      </x:c>
      <x:c r="H68" s="24" t="n">
        <x:v>1.5</x:v>
      </x:c>
      <x:c r="I68" s="25" t="n">
        <x:v>0.00026030145531708015</x:v>
      </x:c>
      <x:c r="J68" s="24" t="n">
        <x:f>ROUND(E68-F68,1)</x:f>
        <x:v>47.6</x:v>
      </x:c>
      <x:c r="K68" s="23" t="str">
        <x:v>中证500</x:v>
      </x:c>
    </x:row>
    <x:row r="69">
      <x:c r="A69" s="23" t="n">
        <x:v>19</x:v>
      </x:c>
      <x:c r="B69" s="23" t="str">
        <x:v>周四</x:v>
      </x:c>
      <x:c r="C69" s="23" t="str">
        <x:v>3月27日</x:v>
      </x:c>
      <x:c r="D69" s="24" t="n">
        <x:v>5932.517</x:v>
      </x:c>
      <x:c r="E69" s="24" t="n">
        <x:v>6000.662</x:v>
      </x:c>
      <x:c r="F69" s="24" t="n">
        <x:v>5891.766</x:v>
      </x:c>
      <x:c r="G69" s="24" t="n">
        <x:v>5957.602</x:v>
      </x:c>
      <x:c r="H69" s="24" t="n">
        <x:v>9.1</x:v>
      </x:c>
      <x:c r="I69" s="25" t="n">
        <x:v>0.001530302014003837</x:v>
      </x:c>
      <x:c r="J69" s="24" t="n">
        <x:f>ROUND(E69-F69,1)</x:f>
        <x:v>108.9</x:v>
      </x:c>
      <x:c r="K69" s="23" t="str">
        <x:v>中证500</x:v>
      </x:c>
    </x:row>
    <x:row r="70">
      <x:c r="A70" s="23" t="n">
        <x:v>20</x:v>
      </x:c>
      <x:c r="B70" s="23" t="str">
        <x:v>周五</x:v>
      </x:c>
      <x:c r="C70" s="23" t="str">
        <x:v>3月28日</x:v>
      </x:c>
      <x:c r="D70" s="24" t="n">
        <x:v>5954.73</x:v>
      </x:c>
      <x:c r="E70" s="24" t="n">
        <x:v>5973.802</x:v>
      </x:c>
      <x:c r="F70" s="24" t="n">
        <x:v>5904.916</x:v>
      </x:c>
      <x:c r="G70" s="24" t="n">
        <x:v>5916.031</x:v>
      </x:c>
      <x:c r="H70" s="24" t="n">
        <x:v>-41.6</x:v>
      </x:c>
      <x:c r="I70" s="25" t="n">
        <x:v>-0.006977807513828482</x:v>
      </x:c>
      <x:c r="J70" s="24" t="n">
        <x:f>ROUND(E70-F70,1)</x:f>
        <x:v>68.9</x:v>
      </x:c>
      <x:c r="K70" s="23" t="str">
        <x:v>中证500</x:v>
      </x:c>
    </x:row>
    <x:row r="71">
      <x:c r="A71" s="23" t="n">
        <x:v>21</x:v>
      </x:c>
      <x:c r="B71" s="23" t="str">
        <x:v>周一</x:v>
      </x:c>
      <x:c r="C71" s="23" t="str">
        <x:v>3月31日</x:v>
      </x:c>
      <x:c r="D71" s="24" t="n">
        <x:v>5886.956</x:v>
      </x:c>
      <x:c r="E71" s="24" t="n">
        <x:v>5908.303</x:v>
      </x:c>
      <x:c r="F71" s="24" t="n">
        <x:v>5802.419</x:v>
      </x:c>
      <x:c r="G71" s="24" t="n">
        <x:v>5857.772</x:v>
      </x:c>
      <x:c r="H71" s="24" t="n">
        <x:v>-58.3</x:v>
      </x:c>
      <x:c r="I71" s="25" t="n">
        <x:v>-0.009847649547475301</x:v>
      </x:c>
      <x:c r="J71" s="24" t="n">
        <x:f>ROUND(E71-F71,1)</x:f>
        <x:v>105.9</x:v>
      </x:c>
      <x:c r="K71" s="23" t="str">
        <x:v>中证500</x:v>
      </x:c>
    </x:row>
    <x:row r="72">
      <x:c r="A72" s="38" t="str">
        <x:v>合计</x:v>
      </x:c>
      <x:c r="B72" s="37" t="n">
        <x:v>21</x:v>
      </x:c>
      <x:c r="C72" s="37"/>
      <x:c r="D72" s="37"/>
      <x:c r="E72" s="37"/>
      <x:c r="F72" s="37"/>
      <x:c r="G72" s="37"/>
      <x:c r="H72" s="37"/>
      <x:c r="I72" s="37"/>
      <x:c r="J72" s="39" t="n">
        <x:f>ROUND(SUM(J51:J71),1)</x:f>
        <x:v>1701.5</x:v>
      </x:c>
      <x:c r="K72" s="37"/>
    </x:row>
    <x:row r="73">
      <x:c r="A73" s="38" t="str">
        <x:v>均值</x:v>
      </x:c>
      <x:c r="B73" s="37"/>
      <x:c r="C73" s="37"/>
      <x:c r="D73" s="37"/>
      <x:c r="E73" s="37"/>
      <x:c r="F73" s="37"/>
      <x:c r="G73" s="37"/>
      <x:c r="H73" s="37"/>
      <x:c r="I73" s="37"/>
      <x:c r="J73" s="41" t="n">
        <x:f>ROUND(IFERROR(AVERAGE(J51:J71),0),1)</x:f>
        <x:v>81</x:v>
      </x:c>
      <x:c r="K73" s="37"/>
    </x:row>
    <x:row r="75">
      <x:c r="A75" s="17" t="str">
        <x:v>4月</x:v>
      </x:c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</x:row>
    <x:row r="76">
      <x:c r="A76" s="20" t="str">
        <x:v>序号</x:v>
      </x:c>
      <x:c r="B76" s="20" t="str">
        <x:v>星期</x:v>
      </x:c>
      <x:c r="C76" s="20" t="str">
        <x:v>日期</x:v>
      </x:c>
      <x:c r="D76" s="20" t="str">
        <x:v>开盘</x:v>
      </x:c>
      <x:c r="E76" s="20" t="str">
        <x:v>高点</x:v>
      </x:c>
      <x:c r="F76" s="20" t="str">
        <x:v>低点</x:v>
      </x:c>
      <x:c r="G76" s="20" t="str">
        <x:v>收盘</x:v>
      </x:c>
      <x:c r="H76" s="20" t="str">
        <x:v>涨跌点数</x:v>
      </x:c>
      <x:c r="I76" s="20" t="str">
        <x:v>涨幅</x:v>
      </x:c>
      <x:c r="J76" s="20" t="str">
        <x:v>振幅</x:v>
      </x:c>
      <x:c r="K76" s="20" t="str">
        <x:v>标的</x:v>
      </x:c>
    </x:row>
    <x:row r="77">
      <x:c r="A77" s="23" t="n">
        <x:v>1</x:v>
      </x:c>
      <x:c r="B77" s="23" t="str">
        <x:v>周二</x:v>
      </x:c>
      <x:c r="C77" s="23" t="str">
        <x:v>4月1日</x:v>
      </x:c>
      <x:c r="D77" s="24" t="n">
        <x:v>5870.942</x:v>
      </x:c>
      <x:c r="E77" s="24" t="n">
        <x:v>5931.504</x:v>
      </x:c>
      <x:c r="F77" s="24" t="n">
        <x:v>5867.848</x:v>
      </x:c>
      <x:c r="G77" s="24" t="n">
        <x:v>5892.85</x:v>
      </x:c>
      <x:c r="H77" s="24" t="n">
        <x:v>35.1</x:v>
      </x:c>
      <x:c r="I77" s="25" t="n">
        <x:v>0.005988283599976274</x:v>
      </x:c>
      <x:c r="J77" s="24" t="n">
        <x:f>ROUND(E77-F77,1)</x:f>
        <x:v>63.7</x:v>
      </x:c>
      <x:c r="K77" s="23" t="str">
        <x:v>中证500</x:v>
      </x:c>
    </x:row>
    <x:row r="78">
      <x:c r="A78" s="23" t="n">
        <x:v>2</x:v>
      </x:c>
      <x:c r="B78" s="23" t="str">
        <x:v>周三</x:v>
      </x:c>
      <x:c r="C78" s="23" t="str">
        <x:v>4月2日</x:v>
      </x:c>
      <x:c r="D78" s="24" t="n">
        <x:v>5884.893</x:v>
      </x:c>
      <x:c r="E78" s="24" t="n">
        <x:v>5936.647</x:v>
      </x:c>
      <x:c r="F78" s="24" t="n">
        <x:v>5884.113</x:v>
      </x:c>
      <x:c r="G78" s="24" t="n">
        <x:v>5899.087</x:v>
      </x:c>
      <x:c r="H78" s="24" t="n">
        <x:v>6.2</x:v>
      </x:c>
      <x:c r="I78" s="25" t="n">
        <x:v>0.0010584012829106815</x:v>
      </x:c>
      <x:c r="J78" s="24" t="n">
        <x:f>ROUND(E78-F78,1)</x:f>
        <x:v>52.5</x:v>
      </x:c>
      <x:c r="K78" s="23" t="str">
        <x:v>中证500</x:v>
      </x:c>
    </x:row>
    <x:row r="79">
      <x:c r="A79" s="23" t="n">
        <x:v>3</x:v>
      </x:c>
      <x:c r="B79" s="23" t="str">
        <x:v>周四</x:v>
      </x:c>
      <x:c r="C79" s="23" t="str">
        <x:v>4月3日</x:v>
      </x:c>
      <x:c r="D79" s="24" t="n">
        <x:v>5842.617</x:v>
      </x:c>
      <x:c r="E79" s="24" t="n">
        <x:v>5906.706</x:v>
      </x:c>
      <x:c r="F79" s="24" t="n">
        <x:v>5817.966</x:v>
      </x:c>
      <x:c r="G79" s="24" t="n">
        <x:v>5845.505</x:v>
      </x:c>
      <x:c r="H79" s="24" t="n">
        <x:v>-53.6</x:v>
      </x:c>
      <x:c r="I79" s="25" t="n">
        <x:v>-0.009083100486566908</x:v>
      </x:c>
      <x:c r="J79" s="24" t="n">
        <x:f>ROUND(E79-F79,1)</x:f>
        <x:v>88.7</x:v>
      </x:c>
      <x:c r="K79" s="23" t="str">
        <x:v>中证500</x:v>
      </x:c>
    </x:row>
    <x:row r="80">
      <x:c r="A80" s="23" t="n">
        <x:v>4</x:v>
      </x:c>
      <x:c r="B80" s="23" t="str">
        <x:v>周一</x:v>
      </x:c>
      <x:c r="C80" s="23" t="str">
        <x:v>4月7日</x:v>
      </x:c>
      <x:c r="D80" s="24" t="n">
        <x:v>5523.964</x:v>
      </x:c>
      <x:c r="E80" s="24" t="n">
        <x:v>5587.85</x:v>
      </x:c>
      <x:c r="F80" s="24" t="n">
        <x:v>5212.677</x:v>
      </x:c>
      <x:c r="G80" s="24" t="n">
        <x:v>5287.033</x:v>
      </x:c>
      <x:c r="H80" s="27" t="n">
        <x:v>-558.5</x:v>
      </x:c>
      <x:c r="I80" s="25" t="n">
        <x:v>-0.09553870880274673</x:v>
      </x:c>
      <x:c r="J80" s="29" t="n">
        <x:f>ROUND(E80-F80,1)</x:f>
        <x:v>375.2</x:v>
      </x:c>
      <x:c r="K80" s="23" t="str">
        <x:v>中证500</x:v>
      </x:c>
    </x:row>
    <x:row r="81">
      <x:c r="A81" s="23" t="n">
        <x:v>5</x:v>
      </x:c>
      <x:c r="B81" s="23" t="str">
        <x:v>周二</x:v>
      </x:c>
      <x:c r="C81" s="23" t="str">
        <x:v>4月8日</x:v>
      </x:c>
      <x:c r="D81" s="24" t="n">
        <x:v>5279.757</x:v>
      </x:c>
      <x:c r="E81" s="24" t="n">
        <x:v>5371.183</x:v>
      </x:c>
      <x:c r="F81" s="24" t="n">
        <x:v>5249.232</x:v>
      </x:c>
      <x:c r="G81" s="24" t="n">
        <x:v>5326.914</x:v>
      </x:c>
      <x:c r="H81" s="24" t="n">
        <x:v>39.9</x:v>
      </x:c>
      <x:c r="I81" s="25" t="n">
        <x:v>0.007543172134541143</x:v>
      </x:c>
      <x:c r="J81" s="24" t="n">
        <x:f>ROUND(E81-F81,1)</x:f>
        <x:v>122</x:v>
      </x:c>
      <x:c r="K81" s="23" t="str">
        <x:v>中证500</x:v>
      </x:c>
    </x:row>
    <x:row r="82">
      <x:c r="A82" s="23" t="n">
        <x:v>6</x:v>
      </x:c>
      <x:c r="B82" s="23" t="str">
        <x:v>周三</x:v>
      </x:c>
      <x:c r="C82" s="23" t="str">
        <x:v>4月9日</x:v>
      </x:c>
      <x:c r="D82" s="24" t="n">
        <x:v>5249.684</x:v>
      </x:c>
      <x:c r="E82" s="24" t="n">
        <x:v>5465.145</x:v>
      </x:c>
      <x:c r="F82" s="24" t="n">
        <x:v>5135.966</x:v>
      </x:c>
      <x:c r="G82" s="24" t="n">
        <x:v>5439.772</x:v>
      </x:c>
      <x:c r="H82" s="24" t="n">
        <x:v>112.9</x:v>
      </x:c>
      <x:c r="I82" s="25" t="n">
        <x:v>0.021186375451152317</x:v>
      </x:c>
      <x:c r="J82" s="29" t="n">
        <x:f>ROUND(E82-F82,1)</x:f>
        <x:v>329.2</x:v>
      </x:c>
      <x:c r="K82" s="23" t="str">
        <x:v>中证500</x:v>
      </x:c>
    </x:row>
    <x:row r="83">
      <x:c r="A83" s="23" t="n">
        <x:v>7</x:v>
      </x:c>
      <x:c r="B83" s="23" t="str">
        <x:v>周四</x:v>
      </x:c>
      <x:c r="C83" s="23" t="str">
        <x:v>4月10日</x:v>
      </x:c>
      <x:c r="D83" s="24" t="n">
        <x:v>5534.559</x:v>
      </x:c>
      <x:c r="E83" s="24" t="n">
        <x:v>5610.19</x:v>
      </x:c>
      <x:c r="F83" s="24" t="n">
        <x:v>5513.954</x:v>
      </x:c>
      <x:c r="G83" s="24" t="n">
        <x:v>5544.065</x:v>
      </x:c>
      <x:c r="H83" s="24" t="n">
        <x:v>104.3</x:v>
      </x:c>
      <x:c r="I83" s="25" t="n">
        <x:v>0.019172310898324385</x:v>
      </x:c>
      <x:c r="J83" s="24" t="n">
        <x:f>ROUND(E83-F83,1)</x:f>
        <x:v>96.2</x:v>
      </x:c>
      <x:c r="K83" s="23" t="str">
        <x:v>中证500</x:v>
      </x:c>
    </x:row>
    <x:row r="84">
      <x:c r="A84" s="23" t="n">
        <x:v>8</x:v>
      </x:c>
      <x:c r="B84" s="23" t="str">
        <x:v>周五</x:v>
      </x:c>
      <x:c r="C84" s="23" t="str">
        <x:v>4月11日</x:v>
      </x:c>
      <x:c r="D84" s="24" t="n">
        <x:v>5514.188</x:v>
      </x:c>
      <x:c r="E84" s="24" t="n">
        <x:v>5631.595</x:v>
      </x:c>
      <x:c r="F84" s="24" t="n">
        <x:v>5510.895</x:v>
      </x:c>
      <x:c r="G84" s="24" t="n">
        <x:v>5581.318</x:v>
      </x:c>
      <x:c r="H84" s="24" t="n">
        <x:v>37.3</x:v>
      </x:c>
      <x:c r="I84" s="25" t="n">
        <x:v>0.0067194378132291455</x:v>
      </x:c>
      <x:c r="J84" s="24" t="n">
        <x:f>ROUND(E84-F84,1)</x:f>
        <x:v>120.7</x:v>
      </x:c>
      <x:c r="K84" s="23" t="str">
        <x:v>中证500</x:v>
      </x:c>
    </x:row>
    <x:row r="85">
      <x:c r="A85" s="23" t="n">
        <x:v>9</x:v>
      </x:c>
      <x:c r="B85" s="23" t="str">
        <x:v>周一</x:v>
      </x:c>
      <x:c r="C85" s="23" t="str">
        <x:v>4月14日</x:v>
      </x:c>
      <x:c r="D85" s="24" t="n">
        <x:v>5633.779</x:v>
      </x:c>
      <x:c r="E85" s="24" t="n">
        <x:v>5661.805</x:v>
      </x:c>
      <x:c r="F85" s="24" t="n">
        <x:v>5608.73</x:v>
      </x:c>
      <x:c r="G85" s="24" t="n">
        <x:v>5627.138</x:v>
      </x:c>
      <x:c r="H85" s="24" t="n">
        <x:v>45.8</x:v>
      </x:c>
      <x:c r="I85" s="25" t="n">
        <x:v>0.008209530437075951</x:v>
      </x:c>
      <x:c r="J85" s="24" t="n">
        <x:f>ROUND(E85-F85,1)</x:f>
        <x:v>53.1</x:v>
      </x:c>
      <x:c r="K85" s="23" t="str">
        <x:v>中证500</x:v>
      </x:c>
    </x:row>
    <x:row r="86">
      <x:c r="A86" s="23" t="n">
        <x:v>10</x:v>
      </x:c>
      <x:c r="B86" s="23" t="str">
        <x:v>周二</x:v>
      </x:c>
      <x:c r="C86" s="23" t="str">
        <x:v>4月15日</x:v>
      </x:c>
      <x:c r="D86" s="24" t="n">
        <x:v>5625.001</x:v>
      </x:c>
      <x:c r="E86" s="24" t="n">
        <x:v>5626.677</x:v>
      </x:c>
      <x:c r="F86" s="24" t="n">
        <x:v>5567.027</x:v>
      </x:c>
      <x:c r="G86" s="24" t="n">
        <x:v>5602.534</x:v>
      </x:c>
      <x:c r="H86" s="24" t="n">
        <x:v>-24.6</x:v>
      </x:c>
      <x:c r="I86" s="25" t="n">
        <x:v>-0.004372382550419052</x:v>
      </x:c>
      <x:c r="J86" s="24" t="n">
        <x:f>ROUND(E86-F86,1)</x:f>
        <x:v>59.6</x:v>
      </x:c>
      <x:c r="K86" s="23" t="str">
        <x:v>中证500</x:v>
      </x:c>
    </x:row>
    <x:row r="87">
      <x:c r="A87" s="23" t="n">
        <x:v>11</x:v>
      </x:c>
      <x:c r="B87" s="23" t="str">
        <x:v>周三</x:v>
      </x:c>
      <x:c r="C87" s="23" t="str">
        <x:v>4月16日</x:v>
      </x:c>
      <x:c r="D87" s="24" t="n">
        <x:v>5589.777</x:v>
      </x:c>
      <x:c r="E87" s="24" t="n">
        <x:v>5592.674</x:v>
      </x:c>
      <x:c r="F87" s="24" t="n">
        <x:v>5492.655</x:v>
      </x:c>
      <x:c r="G87" s="24" t="n">
        <x:v>5556.864</x:v>
      </x:c>
      <x:c r="H87" s="24" t="n">
        <x:v>-45.7</x:v>
      </x:c>
      <x:c r="I87" s="25" t="n">
        <x:v>-0.008151668512855093</x:v>
      </x:c>
      <x:c r="J87" s="24" t="n">
        <x:f>ROUND(E87-F87,1)</x:f>
        <x:v>100</x:v>
      </x:c>
      <x:c r="K87" s="23" t="str">
        <x:v>中证500</x:v>
      </x:c>
    </x:row>
    <x:row r="88">
      <x:c r="A88" s="23" t="n">
        <x:v>12</x:v>
      </x:c>
      <x:c r="B88" s="23" t="str">
        <x:v>周四</x:v>
      </x:c>
      <x:c r="C88" s="23" t="str">
        <x:v>4月17日</x:v>
      </x:c>
      <x:c r="D88" s="24" t="n">
        <x:v>5527.591</x:v>
      </x:c>
      <x:c r="E88" s="24" t="n">
        <x:v>5604.62</x:v>
      </x:c>
      <x:c r="F88" s="24" t="n">
        <x:v>5526.888</x:v>
      </x:c>
      <x:c r="G88" s="24" t="n">
        <x:v>5557.011</x:v>
      </x:c>
      <x:c r="H88" s="24" t="n">
        <x:v>0.1</x:v>
      </x:c>
      <x:c r="I88" s="25" t="n">
        <x:v>0.00002645376960841439</x:v>
      </x:c>
      <x:c r="J88" s="24" t="n">
        <x:f>ROUND(E88-F88,1)</x:f>
        <x:v>77.7</x:v>
      </x:c>
      <x:c r="K88" s="23" t="str">
        <x:v>中证500</x:v>
      </x:c>
    </x:row>
    <x:row r="89">
      <x:c r="A89" s="33" t="n">
        <x:v>13</x:v>
      </x:c>
      <x:c r="B89" s="33" t="str">
        <x:v>周五</x:v>
      </x:c>
      <x:c r="C89" s="33" t="str">
        <x:v>4月18日</x:v>
      </x:c>
      <x:c r="D89" s="34" t="n">
        <x:v>5546.967</x:v>
      </x:c>
      <x:c r="E89" s="34" t="n">
        <x:v>5579.479</x:v>
      </x:c>
      <x:c r="F89" s="34" t="n">
        <x:v>5525.405</x:v>
      </x:c>
      <x:c r="G89" s="34" t="n">
        <x:v>5560.721</x:v>
      </x:c>
      <x:c r="H89" s="34" t="n">
        <x:v>3.7</x:v>
      </x:c>
      <x:c r="I89" s="35" t="n">
        <x:v>0.0006676250955772733</x:v>
      </x:c>
      <x:c r="J89" s="34" t="n">
        <x:f>ROUND(E89-F89,1)</x:f>
        <x:v>54.1</x:v>
      </x:c>
      <x:c r="K89" s="33" t="str">
        <x:v>中证500</x:v>
      </x:c>
    </x:row>
    <x:row r="90">
      <x:c r="A90" s="23" t="n">
        <x:v>14</x:v>
      </x:c>
      <x:c r="B90" s="23" t="str">
        <x:v>周一</x:v>
      </x:c>
      <x:c r="C90" s="23" t="str">
        <x:v>4月21日</x:v>
      </x:c>
      <x:c r="D90" s="24" t="n">
        <x:v>5556.513</x:v>
      </x:c>
      <x:c r="E90" s="24" t="n">
        <x:v>5646.218</x:v>
      </x:c>
      <x:c r="F90" s="24" t="n">
        <x:v>5535.699</x:v>
      </x:c>
      <x:c r="G90" s="24" t="n">
        <x:v>5642.381</x:v>
      </x:c>
      <x:c r="H90" s="24" t="n">
        <x:v>81.7</x:v>
      </x:c>
      <x:c r="I90" s="25" t="n">
        <x:v>0.014685146044910447</x:v>
      </x:c>
      <x:c r="J90" s="24" t="n">
        <x:f>ROUND(E90-F90,1)</x:f>
        <x:v>110.5</x:v>
      </x:c>
      <x:c r="K90" s="23" t="str">
        <x:v>中证500</x:v>
      </x:c>
    </x:row>
    <x:row r="91">
      <x:c r="A91" s="23" t="n">
        <x:v>15</x:v>
      </x:c>
      <x:c r="B91" s="23" t="str">
        <x:v>周二</x:v>
      </x:c>
      <x:c r="C91" s="23" t="str">
        <x:v>4月22日</x:v>
      </x:c>
      <x:c r="D91" s="24" t="n">
        <x:v>5634.894</x:v>
      </x:c>
      <x:c r="E91" s="24" t="n">
        <x:v>5651.554</x:v>
      </x:c>
      <x:c r="F91" s="24" t="n">
        <x:v>5617.879</x:v>
      </x:c>
      <x:c r="G91" s="24" t="n">
        <x:v>5624.209</x:v>
      </x:c>
      <x:c r="H91" s="24" t="n">
        <x:v>-18.2</x:v>
      </x:c>
      <x:c r="I91" s="25" t="n">
        <x:v>-0.0032206261860020513</x:v>
      </x:c>
      <x:c r="J91" s="24" t="n">
        <x:f>ROUND(E91-F91,1)</x:f>
        <x:v>33.7</x:v>
      </x:c>
      <x:c r="K91" s="23" t="str">
        <x:v>中证500</x:v>
      </x:c>
    </x:row>
    <x:row r="92">
      <x:c r="A92" s="23" t="n">
        <x:v>16</x:v>
      </x:c>
      <x:c r="B92" s="23" t="str">
        <x:v>周三</x:v>
      </x:c>
      <x:c r="C92" s="23" t="str">
        <x:v>4月23日</x:v>
      </x:c>
      <x:c r="D92" s="24" t="n">
        <x:v>5647.915</x:v>
      </x:c>
      <x:c r="E92" s="24" t="n">
        <x:v>5670.26</x:v>
      </x:c>
      <x:c r="F92" s="24" t="n">
        <x:v>5614.768</x:v>
      </x:c>
      <x:c r="G92" s="24" t="n">
        <x:v>5634.949</x:v>
      </x:c>
      <x:c r="H92" s="24" t="n">
        <x:v>10.7</x:v>
      </x:c>
      <x:c r="I92" s="25" t="n">
        <x:v>0.001909601865791144</x:v>
      </x:c>
      <x:c r="J92" s="24" t="n">
        <x:f>ROUND(E92-F92,1)</x:f>
        <x:v>55.5</x:v>
      </x:c>
      <x:c r="K92" s="23" t="str">
        <x:v>中证500</x:v>
      </x:c>
    </x:row>
    <x:row r="93">
      <x:c r="A93" s="23" t="n">
        <x:v>17</x:v>
      </x:c>
      <x:c r="B93" s="23" t="str">
        <x:v>周四</x:v>
      </x:c>
      <x:c r="C93" s="23" t="str">
        <x:v>4月24日</x:v>
      </x:c>
      <x:c r="D93" s="24" t="n">
        <x:v>5633.024</x:v>
      </x:c>
      <x:c r="E93" s="24" t="n">
        <x:v>5651.534</x:v>
      </x:c>
      <x:c r="F93" s="24" t="n">
        <x:v>5583.43</x:v>
      </x:c>
      <x:c r="G93" s="24" t="n">
        <x:v>5605.88</x:v>
      </x:c>
      <x:c r="H93" s="24" t="n">
        <x:v>-29.1</x:v>
      </x:c>
      <x:c r="I93" s="25" t="n">
        <x:v>-0.005158697975793491</x:v>
      </x:c>
      <x:c r="J93" s="24" t="n">
        <x:f>ROUND(E93-F93,1)</x:f>
        <x:v>68.1</x:v>
      </x:c>
      <x:c r="K93" s="23" t="str">
        <x:v>中证500</x:v>
      </x:c>
    </x:row>
    <x:row r="94">
      <x:c r="A94" s="23" t="n">
        <x:v>18</x:v>
      </x:c>
      <x:c r="B94" s="23" t="str">
        <x:v>周五</x:v>
      </x:c>
      <x:c r="C94" s="23" t="str">
        <x:v>4月25日</x:v>
      </x:c>
      <x:c r="D94" s="24" t="n">
        <x:v>5613.141</x:v>
      </x:c>
      <x:c r="E94" s="24" t="n">
        <x:v>5661.587</x:v>
      </x:c>
      <x:c r="F94" s="24" t="n">
        <x:v>5596.527</x:v>
      </x:c>
      <x:c r="G94" s="24" t="n">
        <x:v>5627.18</x:v>
      </x:c>
      <x:c r="H94" s="24" t="n">
        <x:v>21.3</x:v>
      </x:c>
      <x:c r="I94" s="25" t="n">
        <x:v>0.0037995818676104243</x:v>
      </x:c>
      <x:c r="J94" s="24" t="n">
        <x:f>ROUND(E94-F94,1)</x:f>
        <x:v>65.1</x:v>
      </x:c>
      <x:c r="K94" s="23" t="str">
        <x:v>中证500</x:v>
      </x:c>
    </x:row>
    <x:row r="95">
      <x:c r="A95" s="23" t="n">
        <x:v>19</x:v>
      </x:c>
      <x:c r="B95" s="23" t="str">
        <x:v>周一</x:v>
      </x:c>
      <x:c r="C95" s="23" t="str">
        <x:v>4月28日</x:v>
      </x:c>
      <x:c r="D95" s="24" t="n">
        <x:v>5624.417</x:v>
      </x:c>
      <x:c r="E95" s="24" t="n">
        <x:v>5628.078</x:v>
      </x:c>
      <x:c r="F95" s="24" t="n">
        <x:v>5587.786</x:v>
      </x:c>
      <x:c r="G95" s="24" t="n">
        <x:v>5598.295</x:v>
      </x:c>
      <x:c r="H95" s="24" t="n">
        <x:v>-28.9</x:v>
      </x:c>
      <x:c r="I95" s="25" t="n">
        <x:v>-0.005133121741263014</x:v>
      </x:c>
      <x:c r="J95" s="24" t="n">
        <x:f>ROUND(E95-F95,1)</x:f>
        <x:v>40.3</x:v>
      </x:c>
      <x:c r="K95" s="23" t="str">
        <x:v>中证500</x:v>
      </x:c>
    </x:row>
    <x:row r="96">
      <x:c r="A96" s="23" t="n">
        <x:v>20</x:v>
      </x:c>
      <x:c r="B96" s="23" t="str">
        <x:v>周二</x:v>
      </x:c>
      <x:c r="C96" s="23" t="str">
        <x:v>4月29日</x:v>
      </x:c>
      <x:c r="D96" s="24" t="n">
        <x:v>5583.719</x:v>
      </x:c>
      <x:c r="E96" s="24" t="n">
        <x:v>5622.022</x:v>
      </x:c>
      <x:c r="F96" s="24" t="n">
        <x:v>5571.236</x:v>
      </x:c>
      <x:c r="G96" s="24" t="n">
        <x:v>5604.906</x:v>
      </x:c>
      <x:c r="H96" s="24" t="n">
        <x:v>6.6</x:v>
      </x:c>
      <x:c r="I96" s="25" t="n">
        <x:v>0.0011808952547158746</x:v>
      </x:c>
      <x:c r="J96" s="24" t="n">
        <x:f>ROUND(E96-F96,1)</x:f>
        <x:v>50.8</x:v>
      </x:c>
      <x:c r="K96" s="23" t="str">
        <x:v>中证500</x:v>
      </x:c>
    </x:row>
    <x:row r="97">
      <x:c r="A97" s="23" t="n">
        <x:v>21</x:v>
      </x:c>
      <x:c r="B97" s="23" t="str">
        <x:v>周三</x:v>
      </x:c>
      <x:c r="C97" s="23" t="str">
        <x:v>4月30日</x:v>
      </x:c>
      <x:c r="D97" s="24" t="n">
        <x:v>5604.654</x:v>
      </x:c>
      <x:c r="E97" s="24" t="n">
        <x:v>5647.782</x:v>
      </x:c>
      <x:c r="F97" s="24" t="n">
        <x:v>5603.172</x:v>
      </x:c>
      <x:c r="G97" s="24" t="n">
        <x:v>5631.825</x:v>
      </x:c>
      <x:c r="H97" s="24" t="n">
        <x:v>26.9</x:v>
      </x:c>
      <x:c r="I97" s="25" t="n">
        <x:v>0.004802756727766644</x:v>
      </x:c>
      <x:c r="J97" s="24" t="n">
        <x:f>ROUND(E97-F97,1)</x:f>
        <x:v>44.6</x:v>
      </x:c>
      <x:c r="K97" s="23" t="str">
        <x:v>中证500</x:v>
      </x:c>
    </x:row>
    <x:row r="98">
      <x:c r="A98" s="38" t="str">
        <x:v>合计</x:v>
      </x:c>
      <x:c r="B98" s="37" t="n">
        <x:v>21</x:v>
      </x:c>
      <x:c r="C98" s="37"/>
      <x:c r="D98" s="37"/>
      <x:c r="E98" s="37"/>
      <x:c r="F98" s="37"/>
      <x:c r="G98" s="37"/>
      <x:c r="H98" s="37"/>
      <x:c r="I98" s="37"/>
      <x:c r="J98" s="39" t="n">
        <x:f>ROUND(SUM(J77:J97),1)</x:f>
        <x:v>2061.3</x:v>
      </x:c>
      <x:c r="K98" s="37"/>
    </x:row>
    <x:row r="99">
      <x:c r="A99" s="38" t="str">
        <x:v>均值</x:v>
      </x:c>
      <x:c r="B99" s="37"/>
      <x:c r="C99" s="37"/>
      <x:c r="D99" s="37"/>
      <x:c r="E99" s="37"/>
      <x:c r="F99" s="37"/>
      <x:c r="G99" s="37"/>
      <x:c r="H99" s="37"/>
      <x:c r="I99" s="37"/>
      <x:c r="J99" s="41" t="n">
        <x:f>ROUND(IFERROR(AVERAGE(J77:J97),0),1)</x:f>
        <x:v>98.2</x:v>
      </x:c>
      <x:c r="K99" s="37"/>
    </x:row>
    <x:row r="101">
      <x:c r="A101" s="17" t="str">
        <x:v>5月</x:v>
      </x:c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</x:row>
    <x:row r="102">
      <x:c r="A102" s="20" t="str">
        <x:v>序号</x:v>
      </x:c>
      <x:c r="B102" s="20" t="str">
        <x:v>星期</x:v>
      </x:c>
      <x:c r="C102" s="20" t="str">
        <x:v>日期</x:v>
      </x:c>
      <x:c r="D102" s="20" t="str">
        <x:v>开盘</x:v>
      </x:c>
      <x:c r="E102" s="20" t="str">
        <x:v>高点</x:v>
      </x:c>
      <x:c r="F102" s="20" t="str">
        <x:v>低点</x:v>
      </x:c>
      <x:c r="G102" s="20" t="str">
        <x:v>收盘</x:v>
      </x:c>
      <x:c r="H102" s="20" t="str">
        <x:v>涨跌点数</x:v>
      </x:c>
      <x:c r="I102" s="20" t="str">
        <x:v>涨幅</x:v>
      </x:c>
      <x:c r="J102" s="20" t="str">
        <x:v>振幅</x:v>
      </x:c>
      <x:c r="K102" s="20" t="str">
        <x:v>标的</x:v>
      </x:c>
    </x:row>
    <x:row r="103">
      <x:c r="A103" s="23" t="n">
        <x:v>1</x:v>
      </x:c>
      <x:c r="B103" s="23" t="str">
        <x:v>周二</x:v>
      </x:c>
      <x:c r="C103" s="23" t="str">
        <x:v>5月6日</x:v>
      </x:c>
      <x:c r="D103" s="24" t="n">
        <x:v>5668.876</x:v>
      </x:c>
      <x:c r="E103" s="24" t="n">
        <x:v>5740.334</x:v>
      </x:c>
      <x:c r="F103" s="24" t="n">
        <x:v>5666.47</x:v>
      </x:c>
      <x:c r="G103" s="24" t="n">
        <x:v>5740.334</x:v>
      </x:c>
      <x:c r="H103" s="24" t="n">
        <x:v>108.5</x:v>
      </x:c>
      <x:c r="I103" s="25" t="n">
        <x:v>0.01926711146031712</x:v>
      </x:c>
      <x:c r="J103" s="24" t="n">
        <x:f>ROUND(E103-F103,1)</x:f>
        <x:v>73.9</x:v>
      </x:c>
      <x:c r="K103" s="23" t="str">
        <x:v>中证500</x:v>
      </x:c>
    </x:row>
    <x:row r="104">
      <x:c r="A104" s="23" t="n">
        <x:v>2</x:v>
      </x:c>
      <x:c r="B104" s="23" t="str">
        <x:v>周三</x:v>
      </x:c>
      <x:c r="C104" s="23" t="str">
        <x:v>5月7日</x:v>
      </x:c>
      <x:c r="D104" s="24" t="n">
        <x:v>5805.656</x:v>
      </x:c>
      <x:c r="E104" s="24" t="n">
        <x:v>5819.242</x:v>
      </x:c>
      <x:c r="F104" s="24" t="n">
        <x:v>5713.273</x:v>
      </x:c>
      <x:c r="G104" s="24" t="n">
        <x:v>5750.291</x:v>
      </x:c>
      <x:c r="H104" s="24" t="n">
        <x:v>10</x:v>
      </x:c>
      <x:c r="I104" s="25" t="n">
        <x:v>0.0017345680582350198</x:v>
      </x:c>
      <x:c r="J104" s="24" t="n">
        <x:f>ROUND(E104-F104,1)</x:f>
        <x:v>106</x:v>
      </x:c>
      <x:c r="K104" s="23" t="str">
        <x:v>中证500</x:v>
      </x:c>
    </x:row>
    <x:row r="105">
      <x:c r="A105" s="23" t="n">
        <x:v>3</x:v>
      </x:c>
      <x:c r="B105" s="23" t="str">
        <x:v>周四</x:v>
      </x:c>
      <x:c r="C105" s="23" t="str">
        <x:v>5月8日</x:v>
      </x:c>
      <x:c r="D105" s="24" t="n">
        <x:v>5731.716</x:v>
      </x:c>
      <x:c r="E105" s="24" t="n">
        <x:v>5783.792</x:v>
      </x:c>
      <x:c r="F105" s="24" t="n">
        <x:v>5724.951</x:v>
      </x:c>
      <x:c r="G105" s="24" t="n">
        <x:v>5773.806</x:v>
      </x:c>
      <x:c r="H105" s="24" t="n">
        <x:v>23.5</x:v>
      </x:c>
      <x:c r="I105" s="25" t="n">
        <x:v>0.004089358260303655</x:v>
      </x:c>
      <x:c r="J105" s="24" t="n">
        <x:f>ROUND(E105-F105,1)</x:f>
        <x:v>58.8</x:v>
      </x:c>
      <x:c r="K105" s="23" t="str">
        <x:v>中证500</x:v>
      </x:c>
    </x:row>
    <x:row r="106">
      <x:c r="A106" s="23" t="n">
        <x:v>4</x:v>
      </x:c>
      <x:c r="B106" s="23" t="str">
        <x:v>周五</x:v>
      </x:c>
      <x:c r="C106" s="23" t="str">
        <x:v>5月9日</x:v>
      </x:c>
      <x:c r="D106" s="24" t="n">
        <x:v>5770.441</x:v>
      </x:c>
      <x:c r="E106" s="24" t="n">
        <x:v>5770.441</x:v>
      </x:c>
      <x:c r="F106" s="24" t="n">
        <x:v>5705.165</x:v>
      </x:c>
      <x:c r="G106" s="24" t="n">
        <x:v>5721.723</x:v>
      </x:c>
      <x:c r="H106" s="24" t="n">
        <x:v>-52.1</x:v>
      </x:c>
      <x:c r="I106" s="25" t="n">
        <x:v>-0.009020566330077529</x:v>
      </x:c>
      <x:c r="J106" s="24" t="n">
        <x:f>ROUND(E106-F106,1)</x:f>
        <x:v>65.3</x:v>
      </x:c>
      <x:c r="K106" s="23" t="str">
        <x:v>中证500</x:v>
      </x:c>
    </x:row>
    <x:row r="107">
      <x:c r="A107" s="23" t="n">
        <x:v>5</x:v>
      </x:c>
      <x:c r="B107" s="23" t="str">
        <x:v>周一</x:v>
      </x:c>
      <x:c r="C107" s="23" t="str">
        <x:v>5月12日</x:v>
      </x:c>
      <x:c r="D107" s="24" t="n">
        <x:v>5751.437</x:v>
      </x:c>
      <x:c r="E107" s="24" t="n">
        <x:v>5794.516</x:v>
      </x:c>
      <x:c r="F107" s="24" t="n">
        <x:v>5737.462</x:v>
      </x:c>
      <x:c r="G107" s="24" t="n">
        <x:v>5793.674</x:v>
      </x:c>
      <x:c r="H107" s="24" t="n">
        <x:v>72</x:v>
      </x:c>
      <x:c r="I107" s="25" t="n">
        <x:v>0.012575058247314752</x:v>
      </x:c>
      <x:c r="J107" s="24" t="n">
        <x:f>ROUND(E107-F107,1)</x:f>
        <x:v>57.1</x:v>
      </x:c>
      <x:c r="K107" s="23" t="str">
        <x:v>中证500</x:v>
      </x:c>
    </x:row>
    <x:row r="108">
      <x:c r="A108" s="23" t="n">
        <x:v>6</x:v>
      </x:c>
      <x:c r="B108" s="23" t="str">
        <x:v>周二</x:v>
      </x:c>
      <x:c r="C108" s="23" t="str">
        <x:v>5月13日</x:v>
      </x:c>
      <x:c r="D108" s="24" t="n">
        <x:v>5838.034</x:v>
      </x:c>
      <x:c r="E108" s="24" t="n">
        <x:v>5838.034</x:v>
      </x:c>
      <x:c r="F108" s="24" t="n">
        <x:v>5772.072</x:v>
      </x:c>
      <x:c r="G108" s="24" t="n">
        <x:v>5781.668</x:v>
      </x:c>
      <x:c r="H108" s="24" t="n">
        <x:v>-12</x:v>
      </x:c>
      <x:c r="I108" s="25" t="n">
        <x:v>-0.002072260192755082</x:v>
      </x:c>
      <x:c r="J108" s="24" t="n">
        <x:f>ROUND(E108-F108,1)</x:f>
        <x:v>66</x:v>
      </x:c>
      <x:c r="K108" s="23" t="str">
        <x:v>中证500</x:v>
      </x:c>
    </x:row>
    <x:row r="109">
      <x:c r="A109" s="23" t="n">
        <x:v>7</x:v>
      </x:c>
      <x:c r="B109" s="23" t="str">
        <x:v>周三</x:v>
      </x:c>
      <x:c r="C109" s="23" t="str">
        <x:v>5月14日</x:v>
      </x:c>
      <x:c r="D109" s="24" t="n">
        <x:v>5778.079</x:v>
      </x:c>
      <x:c r="E109" s="24" t="n">
        <x:v>5835.491</x:v>
      </x:c>
      <x:c r="F109" s="24" t="n">
        <x:v>5750.537</x:v>
      </x:c>
      <x:c r="G109" s="24" t="n">
        <x:v>5799.119</x:v>
      </x:c>
      <x:c r="H109" s="24" t="n">
        <x:v>17.5</x:v>
      </x:c>
      <x:c r="I109" s="25" t="n">
        <x:v>0.003018333117709382</x:v>
      </x:c>
      <x:c r="J109" s="24" t="n">
        <x:f>ROUND(E109-F109,1)</x:f>
        <x:v>85</x:v>
      </x:c>
      <x:c r="K109" s="23" t="str">
        <x:v>中证500</x:v>
      </x:c>
    </x:row>
    <x:row r="110">
      <x:c r="A110" s="23" t="n">
        <x:v>8</x:v>
      </x:c>
      <x:c r="B110" s="23" t="str">
        <x:v>周四</x:v>
      </x:c>
      <x:c r="C110" s="23" t="str">
        <x:v>5月15日</x:v>
      </x:c>
      <x:c r="D110" s="24" t="n">
        <x:v>5786.783</x:v>
      </x:c>
      <x:c r="E110" s="24" t="n">
        <x:v>5786.783</x:v>
      </x:c>
      <x:c r="F110" s="24" t="n">
        <x:v>5715.294</x:v>
      </x:c>
      <x:c r="G110" s="24" t="n">
        <x:v>5715.297</x:v>
      </x:c>
      <x:c r="H110" s="24" t="n">
        <x:v>-83.8</x:v>
      </x:c>
      <x:c r="I110" s="25" t="n">
        <x:v>-0.014454264518455329</x:v>
      </x:c>
      <x:c r="J110" s="24" t="n">
        <x:f>ROUND(E110-F110,1)</x:f>
        <x:v>71.5</x:v>
      </x:c>
      <x:c r="K110" s="23" t="str">
        <x:v>中证500</x:v>
      </x:c>
    </x:row>
    <x:row r="111">
      <x:c r="A111" s="33" t="n">
        <x:v>9</x:v>
      </x:c>
      <x:c r="B111" s="33" t="str">
        <x:v>周五</x:v>
      </x:c>
      <x:c r="C111" s="33" t="str">
        <x:v>5月16日</x:v>
      </x:c>
      <x:c r="D111" s="34" t="n">
        <x:v>5703.735</x:v>
      </x:c>
      <x:c r="E111" s="34" t="n">
        <x:v>5735.012</x:v>
      </x:c>
      <x:c r="F111" s="34" t="n">
        <x:v>5703.735</x:v>
      </x:c>
      <x:c r="G111" s="34" t="n">
        <x:v>5715.849</x:v>
      </x:c>
      <x:c r="H111" s="34" t="n">
        <x:v>0.6</x:v>
      </x:c>
      <x:c r="I111" s="35" t="n">
        <x:v>0.00009658290724012808</x:v>
      </x:c>
      <x:c r="J111" s="34" t="n">
        <x:f>ROUND(E111-F111,1)</x:f>
        <x:v>31.3</x:v>
      </x:c>
      <x:c r="K111" s="33" t="str">
        <x:v>中证500</x:v>
      </x:c>
    </x:row>
    <x:row r="112">
      <x:c r="A112" s="23" t="n">
        <x:v>10</x:v>
      </x:c>
      <x:c r="B112" s="23" t="str">
        <x:v>周一</x:v>
      </x:c>
      <x:c r="C112" s="23" t="str">
        <x:v>5月19日</x:v>
      </x:c>
      <x:c r="D112" s="24" t="n">
        <x:v>5719.438</x:v>
      </x:c>
      <x:c r="E112" s="24" t="n">
        <x:v>5729.07</x:v>
      </x:c>
      <x:c r="F112" s="24" t="n">
        <x:v>5669.721</x:v>
      </x:c>
      <x:c r="G112" s="24" t="n">
        <x:v>5720.795</x:v>
      </x:c>
      <x:c r="H112" s="24" t="n">
        <x:v>4.9</x:v>
      </x:c>
      <x:c r="I112" s="25" t="n">
        <x:v>0.0008653132719216305</x:v>
      </x:c>
      <x:c r="J112" s="24" t="n">
        <x:f>ROUND(E112-F112,1)</x:f>
        <x:v>59.3</x:v>
      </x:c>
      <x:c r="K112" s="23" t="str">
        <x:v>中证500</x:v>
      </x:c>
    </x:row>
    <x:row r="113">
      <x:c r="A113" s="23" t="n">
        <x:v>11</x:v>
      </x:c>
      <x:c r="B113" s="23" t="str">
        <x:v>周二</x:v>
      </x:c>
      <x:c r="C113" s="23" t="str">
        <x:v>5月20日</x:v>
      </x:c>
      <x:c r="D113" s="24" t="n">
        <x:v>5723.506</x:v>
      </x:c>
      <x:c r="E113" s="24" t="n">
        <x:v>5759.458</x:v>
      </x:c>
      <x:c r="F113" s="24" t="n">
        <x:v>5707.81</x:v>
      </x:c>
      <x:c r="G113" s="24" t="n">
        <x:v>5747.367</x:v>
      </x:c>
      <x:c r="H113" s="24" t="n">
        <x:v>26.6</x:v>
      </x:c>
      <x:c r="I113" s="25" t="n">
        <x:v>0.004644808981968396</x:v>
      </x:c>
      <x:c r="J113" s="24" t="n">
        <x:f>ROUND(E113-F113,1)</x:f>
        <x:v>51.6</x:v>
      </x:c>
      <x:c r="K113" s="23" t="str">
        <x:v>中证500</x:v>
      </x:c>
    </x:row>
    <x:row r="114">
      <x:c r="A114" s="23" t="n">
        <x:v>12</x:v>
      </x:c>
      <x:c r="B114" s="23" t="str">
        <x:v>周三</x:v>
      </x:c>
      <x:c r="C114" s="23" t="str">
        <x:v>5月21日</x:v>
      </x:c>
      <x:c r="D114" s="24" t="n">
        <x:v>5741.689</x:v>
      </x:c>
      <x:c r="E114" s="24" t="n">
        <x:v>5763.079</x:v>
      </x:c>
      <x:c r="F114" s="24" t="n">
        <x:v>5733.828</x:v>
      </x:c>
      <x:c r="G114" s="24" t="n">
        <x:v>5757.923</x:v>
      </x:c>
      <x:c r="H114" s="24" t="n">
        <x:v>10.6</x:v>
      </x:c>
      <x:c r="I114" s="25" t="n">
        <x:v>0.0018366671207876717</x:v>
      </x:c>
      <x:c r="J114" s="24" t="n">
        <x:f>ROUND(E114-F114,1)</x:f>
        <x:v>29.3</x:v>
      </x:c>
      <x:c r="K114" s="23" t="str">
        <x:v>中证500</x:v>
      </x:c>
    </x:row>
    <x:row r="115">
      <x:c r="A115" s="23" t="n">
        <x:v>13</x:v>
      </x:c>
      <x:c r="B115" s="23" t="str">
        <x:v>周四</x:v>
      </x:c>
      <x:c r="C115" s="23" t="str">
        <x:v>5月22日</x:v>
      </x:c>
      <x:c r="D115" s="24" t="n">
        <x:v>5739.191</x:v>
      </x:c>
      <x:c r="E115" s="24" t="n">
        <x:v>5757.795</x:v>
      </x:c>
      <x:c r="F115" s="24" t="n">
        <x:v>5701.161</x:v>
      </x:c>
      <x:c r="G115" s="24" t="n">
        <x:v>5703.28</x:v>
      </x:c>
      <x:c r="H115" s="24" t="n">
        <x:v>-54.6</x:v>
      </x:c>
      <x:c r="I115" s="25" t="n">
        <x:v>-0.009490053965640066</x:v>
      </x:c>
      <x:c r="J115" s="24" t="n">
        <x:f>ROUND(E115-F115,1)</x:f>
        <x:v>56.6</x:v>
      </x:c>
      <x:c r="K115" s="23" t="str">
        <x:v>中证500</x:v>
      </x:c>
    </x:row>
    <x:row r="116">
      <x:c r="A116" s="23" t="n">
        <x:v>14</x:v>
      </x:c>
      <x:c r="B116" s="23" t="str">
        <x:v>周五</x:v>
      </x:c>
      <x:c r="C116" s="23" t="str">
        <x:v>5月23日</x:v>
      </x:c>
      <x:c r="D116" s="24" t="n">
        <x:v>5697.136</x:v>
      </x:c>
      <x:c r="E116" s="24" t="n">
        <x:v>5738.083</x:v>
      </x:c>
      <x:c r="F116" s="24" t="n">
        <x:v>5653.044</x:v>
      </x:c>
      <x:c r="G116" s="24" t="n">
        <x:v>5653.044</x:v>
      </x:c>
      <x:c r="H116" s="24" t="n">
        <x:v>-50.2</x:v>
      </x:c>
      <x:c r="I116" s="25" t="n">
        <x:v>-0.00880826471784657</x:v>
      </x:c>
      <x:c r="J116" s="24" t="n">
        <x:f>ROUND(E116-F116,1)</x:f>
        <x:v>85</x:v>
      </x:c>
      <x:c r="K116" s="23" t="str">
        <x:v>中证500</x:v>
      </x:c>
    </x:row>
    <x:row r="117">
      <x:c r="A117" s="23" t="n">
        <x:v>15</x:v>
      </x:c>
      <x:c r="B117" s="23" t="str">
        <x:v>周一</x:v>
      </x:c>
      <x:c r="C117" s="23" t="str">
        <x:v>5月26日</x:v>
      </x:c>
      <x:c r="D117" s="24" t="n">
        <x:v>5653.206</x:v>
      </x:c>
      <x:c r="E117" s="24" t="n">
        <x:v>5693.625</x:v>
      </x:c>
      <x:c r="F117" s="24" t="n">
        <x:v>5644.579</x:v>
      </x:c>
      <x:c r="G117" s="24" t="n">
        <x:v>5669.461</x:v>
      </x:c>
      <x:c r="H117" s="24" t="n">
        <x:v>16.4</x:v>
      </x:c>
      <x:c r="I117" s="25" t="n">
        <x:v>0.0029040991012985184</x:v>
      </x:c>
      <x:c r="J117" s="24" t="n">
        <x:f>ROUND(E117-F117,1)</x:f>
        <x:v>49</x:v>
      </x:c>
      <x:c r="K117" s="23" t="str">
        <x:v>中证500</x:v>
      </x:c>
    </x:row>
    <x:row r="118">
      <x:c r="A118" s="23" t="n">
        <x:v>16</x:v>
      </x:c>
      <x:c r="B118" s="23" t="str">
        <x:v>周二</x:v>
      </x:c>
      <x:c r="C118" s="23" t="str">
        <x:v>5月27日</x:v>
      </x:c>
      <x:c r="D118" s="24" t="n">
        <x:v>5666.303</x:v>
      </x:c>
      <x:c r="E118" s="24" t="n">
        <x:v>5667.871</x:v>
      </x:c>
      <x:c r="F118" s="24" t="n">
        <x:v>5629.134</x:v>
      </x:c>
      <x:c r="G118" s="24" t="n">
        <x:v>5652.145</x:v>
      </x:c>
      <x:c r="H118" s="24" t="n">
        <x:v>-17.3</x:v>
      </x:c>
      <x:c r="I118" s="25" t="n">
        <x:v>-0.003054258597069426</x:v>
      </x:c>
      <x:c r="J118" s="24" t="n">
        <x:f>ROUND(E118-F118,1)</x:f>
        <x:v>38.7</x:v>
      </x:c>
      <x:c r="K118" s="23" t="str">
        <x:v>中证500</x:v>
      </x:c>
    </x:row>
    <x:row r="119">
      <x:c r="A119" s="23" t="n">
        <x:v>17</x:v>
      </x:c>
      <x:c r="B119" s="23" t="str">
        <x:v>周三</x:v>
      </x:c>
      <x:c r="C119" s="23" t="str">
        <x:v>5月28日</x:v>
      </x:c>
      <x:c r="D119" s="24" t="n">
        <x:v>5651.876</x:v>
      </x:c>
      <x:c r="E119" s="24" t="n">
        <x:v>5660.47</x:v>
      </x:c>
      <x:c r="F119" s="24" t="n">
        <x:v>5628.417</x:v>
      </x:c>
      <x:c r="G119" s="24" t="n">
        <x:v>5637.238</x:v>
      </x:c>
      <x:c r="H119" s="24" t="n">
        <x:v>-14.9</x:v>
      </x:c>
      <x:c r="I119" s="25" t="n">
        <x:v>-0.0026374057990373734</x:v>
      </x:c>
      <x:c r="J119" s="24" t="n">
        <x:f>ROUND(E119-F119,1)</x:f>
        <x:v>32.1</x:v>
      </x:c>
      <x:c r="K119" s="23" t="str">
        <x:v>中证500</x:v>
      </x:c>
    </x:row>
    <x:row r="120">
      <x:c r="A120" s="23" t="n">
        <x:v>18</x:v>
      </x:c>
      <x:c r="B120" s="23" t="str">
        <x:v>周四</x:v>
      </x:c>
      <x:c r="C120" s="23" t="str">
        <x:v>5月29日</x:v>
      </x:c>
      <x:c r="D120" s="24" t="n">
        <x:v>5637.063</x:v>
      </x:c>
      <x:c r="E120" s="24" t="n">
        <x:v>5724.519</x:v>
      </x:c>
      <x:c r="F120" s="24" t="n">
        <x:v>5637.063</x:v>
      </x:c>
      <x:c r="G120" s="24" t="n">
        <x:v>5719.91</x:v>
      </x:c>
      <x:c r="H120" s="24" t="n">
        <x:v>82.7</x:v>
      </x:c>
      <x:c r="I120" s="25" t="n">
        <x:v>0.014665337883552176</x:v>
      </x:c>
      <x:c r="J120" s="24" t="n">
        <x:f>ROUND(E120-F120,1)</x:f>
        <x:v>87.5</x:v>
      </x:c>
      <x:c r="K120" s="23" t="str">
        <x:v>中证500</x:v>
      </x:c>
    </x:row>
    <x:row r="121">
      <x:c r="A121" s="23" t="n">
        <x:v>19</x:v>
      </x:c>
      <x:c r="B121" s="23" t="str">
        <x:v>周五</x:v>
      </x:c>
      <x:c r="C121" s="23" t="str">
        <x:v>5月30日</x:v>
      </x:c>
      <x:c r="D121" s="24" t="n">
        <x:v>5704.771</x:v>
      </x:c>
      <x:c r="E121" s="24" t="n">
        <x:v>5704.771</x:v>
      </x:c>
      <x:c r="F121" s="24" t="n">
        <x:v>5665.518</x:v>
      </x:c>
      <x:c r="G121" s="24" t="n">
        <x:v>5671.072</x:v>
      </x:c>
      <x:c r="H121" s="24" t="n">
        <x:v>-48.8</x:v>
      </x:c>
      <x:c r="I121" s="25" t="n">
        <x:v>-0.008538246231146962</x:v>
      </x:c>
      <x:c r="J121" s="24" t="n">
        <x:f>ROUND(E121-F121,1)</x:f>
        <x:v>39.3</x:v>
      </x:c>
      <x:c r="K121" s="23" t="str">
        <x:v>中证500</x:v>
      </x:c>
    </x:row>
    <x:row r="122">
      <x:c r="A122" s="38" t="str">
        <x:v>合计</x:v>
      </x:c>
      <x:c r="B122" s="37" t="n">
        <x:v>19</x:v>
      </x:c>
      <x:c r="C122" s="37"/>
      <x:c r="D122" s="37"/>
      <x:c r="E122" s="37"/>
      <x:c r="F122" s="37"/>
      <x:c r="G122" s="37"/>
      <x:c r="H122" s="37"/>
      <x:c r="I122" s="37"/>
      <x:c r="J122" s="39" t="n">
        <x:f>ROUND(SUM(J103:J121),1)</x:f>
        <x:v>1143.3</x:v>
      </x:c>
      <x:c r="K122" s="37"/>
    </x:row>
    <x:row r="123">
      <x:c r="A123" s="38" t="str">
        <x:v>均值</x:v>
      </x:c>
      <x:c r="B123" s="37"/>
      <x:c r="C123" s="37"/>
      <x:c r="D123" s="37"/>
      <x:c r="E123" s="37"/>
      <x:c r="F123" s="37"/>
      <x:c r="G123" s="37"/>
      <x:c r="H123" s="37"/>
      <x:c r="I123" s="37"/>
      <x:c r="J123" s="41" t="n">
        <x:f>ROUND(IFERROR(AVERAGE(J103:J121),0),1)</x:f>
        <x:v>60.2</x:v>
      </x:c>
      <x:c r="K123" s="37"/>
    </x:row>
    <x:row r="125">
      <x:c r="A125" s="17" t="str">
        <x:v>6月</x:v>
      </x:c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</x:row>
    <x:row r="126">
      <x:c r="A126" s="20" t="str">
        <x:v>序号</x:v>
      </x:c>
      <x:c r="B126" s="20" t="str">
        <x:v>星期</x:v>
      </x:c>
      <x:c r="C126" s="20" t="str">
        <x:v>日期</x:v>
      </x:c>
      <x:c r="D126" s="20" t="str">
        <x:v>开盘</x:v>
      </x:c>
      <x:c r="E126" s="20" t="str">
        <x:v>高点</x:v>
      </x:c>
      <x:c r="F126" s="20" t="str">
        <x:v>低点</x:v>
      </x:c>
      <x:c r="G126" s="20" t="str">
        <x:v>收盘</x:v>
      </x:c>
      <x:c r="H126" s="20" t="str">
        <x:v>涨跌点数</x:v>
      </x:c>
      <x:c r="I126" s="20" t="str">
        <x:v>涨幅</x:v>
      </x:c>
      <x:c r="J126" s="20" t="str">
        <x:v>振幅</x:v>
      </x:c>
      <x:c r="K126" s="20" t="str">
        <x:v>标的</x:v>
      </x:c>
    </x:row>
    <x:row r="127">
      <x:c r="A127" s="23" t="n">
        <x:v>1</x:v>
      </x:c>
      <x:c r="B127" s="23" t="str">
        <x:v>周二</x:v>
      </x:c>
      <x:c r="C127" s="23" t="str">
        <x:v>6月3日</x:v>
      </x:c>
      <x:c r="D127" s="24" t="n">
        <x:v>5653.675</x:v>
      </x:c>
      <x:c r="E127" s="24" t="n">
        <x:v>5710.42</x:v>
      </x:c>
      <x:c r="F127" s="24" t="n">
        <x:v>5653.298</x:v>
      </x:c>
      <x:c r="G127" s="24" t="n">
        <x:v>5694.839</x:v>
      </x:c>
      <x:c r="H127" s="24" t="n">
        <x:v>23.8</x:v>
      </x:c>
      <x:c r="I127" s="25" t="n">
        <x:v>0.004190918401318022</x:v>
      </x:c>
      <x:c r="J127" s="24" t="n">
        <x:f>ROUND(E127-F127,1)</x:f>
        <x:v>57.1</x:v>
      </x:c>
      <x:c r="K127" s="23" t="str">
        <x:v>中证500</x:v>
      </x:c>
    </x:row>
    <x:row r="128">
      <x:c r="A128" s="23" t="n">
        <x:v>2</x:v>
      </x:c>
      <x:c r="B128" s="23" t="str">
        <x:v>周三</x:v>
      </x:c>
      <x:c r="C128" s="23" t="str">
        <x:v>6月4日</x:v>
      </x:c>
      <x:c r="D128" s="24" t="n">
        <x:v>5696.569</x:v>
      </x:c>
      <x:c r="E128" s="24" t="n">
        <x:v>5744.454</x:v>
      </x:c>
      <x:c r="F128" s="24" t="n">
        <x:v>5696.569</x:v>
      </x:c>
      <x:c r="G128" s="24" t="n">
        <x:v>5739.006</x:v>
      </x:c>
      <x:c r="H128" s="24" t="n">
        <x:v>44.2</x:v>
      </x:c>
      <x:c r="I128" s="25" t="n">
        <x:v>0.007755618727763869</x:v>
      </x:c>
      <x:c r="J128" s="24" t="n">
        <x:f>ROUND(E128-F128,1)</x:f>
        <x:v>47.9</x:v>
      </x:c>
      <x:c r="K128" s="23" t="str">
        <x:v>中证500</x:v>
      </x:c>
    </x:row>
    <x:row r="129">
      <x:c r="A129" s="23" t="n">
        <x:v>3</x:v>
      </x:c>
      <x:c r="B129" s="23" t="str">
        <x:v>周四</x:v>
      </x:c>
      <x:c r="C129" s="23" t="str">
        <x:v>6月5日</x:v>
      </x:c>
      <x:c r="D129" s="24" t="n">
        <x:v>5741.03</x:v>
      </x:c>
      <x:c r="E129" s="24" t="n">
        <x:v>5778.096</x:v>
      </x:c>
      <x:c r="F129" s="24" t="n">
        <x:v>5719.547</x:v>
      </x:c>
      <x:c r="G129" s="24" t="n">
        <x:v>5769.968</x:v>
      </x:c>
      <x:c r="H129" s="24" t="n">
        <x:v>31</x:v>
      </x:c>
      <x:c r="I129" s="25" t="n">
        <x:v>0.005395010913039622</x:v>
      </x:c>
      <x:c r="J129" s="24" t="n">
        <x:f>ROUND(E129-F129,1)</x:f>
        <x:v>58.5</x:v>
      </x:c>
      <x:c r="K129" s="23" t="str">
        <x:v>中证500</x:v>
      </x:c>
    </x:row>
    <x:row r="130">
      <x:c r="A130" s="23" t="n">
        <x:v>4</x:v>
      </x:c>
      <x:c r="B130" s="23" t="str">
        <x:v>周五</x:v>
      </x:c>
      <x:c r="C130" s="23" t="str">
        <x:v>6月6日</x:v>
      </x:c>
      <x:c r="D130" s="24" t="n">
        <x:v>5768.399</x:v>
      </x:c>
      <x:c r="E130" s="24" t="n">
        <x:v>5771.756</x:v>
      </x:c>
      <x:c r="F130" s="24" t="n">
        <x:v>5750.659</x:v>
      </x:c>
      <x:c r="G130" s="24" t="n">
        <x:v>5762.078</x:v>
      </x:c>
      <x:c r="H130" s="24" t="n">
        <x:v>-7.9</x:v>
      </x:c>
      <x:c r="I130" s="25" t="n">
        <x:v>-0.001367425261283861</x:v>
      </x:c>
      <x:c r="J130" s="24" t="n">
        <x:f>ROUND(E130-F130,1)</x:f>
        <x:v>21.1</x:v>
      </x:c>
      <x:c r="K130" s="23" t="str">
        <x:v>中证500</x:v>
      </x:c>
    </x:row>
    <x:row r="131">
      <x:c r="A131" s="23" t="n">
        <x:v>5</x:v>
      </x:c>
      <x:c r="B131" s="23" t="str">
        <x:v>周一</x:v>
      </x:c>
      <x:c r="C131" s="23" t="str">
        <x:v>6月9日</x:v>
      </x:c>
      <x:c r="D131" s="24" t="n">
        <x:v>5772.779</x:v>
      </x:c>
      <x:c r="E131" s="24" t="n">
        <x:v>5823.899</x:v>
      </x:c>
      <x:c r="F131" s="24" t="n">
        <x:v>5765.355</x:v>
      </x:c>
      <x:c r="G131" s="24" t="n">
        <x:v>5805.654</x:v>
      </x:c>
      <x:c r="H131" s="24" t="n">
        <x:v>43.6</x:v>
      </x:c>
      <x:c r="I131" s="25" t="n">
        <x:v>0.007562549483016268</x:v>
      </x:c>
      <x:c r="J131" s="24" t="n">
        <x:f>ROUND(E131-F131,1)</x:f>
        <x:v>58.5</x:v>
      </x:c>
      <x:c r="K131" s="23" t="str">
        <x:v>中证500</x:v>
      </x:c>
    </x:row>
    <x:row r="132">
      <x:c r="A132" s="23" t="n">
        <x:v>6</x:v>
      </x:c>
      <x:c r="B132" s="23" t="str">
        <x:v>周二</x:v>
      </x:c>
      <x:c r="C132" s="23" t="str">
        <x:v>6月10日</x:v>
      </x:c>
      <x:c r="D132" s="24" t="n">
        <x:v>5809.828</x:v>
      </x:c>
      <x:c r="E132" s="24" t="n">
        <x:v>5810.922</x:v>
      </x:c>
      <x:c r="F132" s="24" t="n">
        <x:v>5715.971</x:v>
      </x:c>
      <x:c r="G132" s="24" t="n">
        <x:v>5757.992</x:v>
      </x:c>
      <x:c r="H132" s="24" t="n">
        <x:v>-47.7</x:v>
      </x:c>
      <x:c r="I132" s="25" t="n">
        <x:v>-0.008209583278645294</x:v>
      </x:c>
      <x:c r="J132" s="24" t="n">
        <x:f>ROUND(E132-F132,1)</x:f>
        <x:v>95</x:v>
      </x:c>
      <x:c r="K132" s="23" t="str">
        <x:v>中证500</x:v>
      </x:c>
    </x:row>
    <x:row r="133">
      <x:c r="A133" s="23" t="n">
        <x:v>7</x:v>
      </x:c>
      <x:c r="B133" s="23" t="str">
        <x:v>周三</x:v>
      </x:c>
      <x:c r="C133" s="23" t="str">
        <x:v>6月11日</x:v>
      </x:c>
      <x:c r="D133" s="24" t="n">
        <x:v>5758.529</x:v>
      </x:c>
      <x:c r="E133" s="24" t="n">
        <x:v>5818.573</x:v>
      </x:c>
      <x:c r="F133" s="24" t="n">
        <x:v>5758.529</x:v>
      </x:c>
      <x:c r="G133" s="24" t="n">
        <x:v>5792.946</x:v>
      </x:c>
      <x:c r="H133" s="24" t="n">
        <x:v>35</x:v>
      </x:c>
      <x:c r="I133" s="25" t="n">
        <x:v>0.0060705190281611365</x:v>
      </x:c>
      <x:c r="J133" s="24" t="n">
        <x:f>ROUND(E133-F133,1)</x:f>
        <x:v>60</x:v>
      </x:c>
      <x:c r="K133" s="23" t="str">
        <x:v>中证500</x:v>
      </x:c>
    </x:row>
    <x:row r="134">
      <x:c r="A134" s="23" t="n">
        <x:v>8</x:v>
      </x:c>
      <x:c r="B134" s="23" t="str">
        <x:v>周四</x:v>
      </x:c>
      <x:c r="C134" s="23" t="str">
        <x:v>6月12日</x:v>
      </x:c>
      <x:c r="D134" s="24" t="n">
        <x:v>5780.967</x:v>
      </x:c>
      <x:c r="E134" s="24" t="n">
        <x:v>5808.805</x:v>
      </x:c>
      <x:c r="F134" s="24" t="n">
        <x:v>5766.521</x:v>
      </x:c>
      <x:c r="G134" s="24" t="n">
        <x:v>5799.932</x:v>
      </x:c>
      <x:c r="H134" s="24" t="n">
        <x:v>7</x:v>
      </x:c>
      <x:c r="I134" s="25" t="n">
        <x:v>0.0012059494426497341</x:v>
      </x:c>
      <x:c r="J134" s="24" t="n">
        <x:f>ROUND(E134-F134,1)</x:f>
        <x:v>42.3</x:v>
      </x:c>
      <x:c r="K134" s="23" t="str">
        <x:v>中证500</x:v>
      </x:c>
    </x:row>
    <x:row r="135">
      <x:c r="A135" s="23" t="n">
        <x:v>9</x:v>
      </x:c>
      <x:c r="B135" s="23" t="str">
        <x:v>周五</x:v>
      </x:c>
      <x:c r="C135" s="23" t="str">
        <x:v>6月13日</x:v>
      </x:c>
      <x:c r="D135" s="24" t="n">
        <x:v>5783.156</x:v>
      </x:c>
      <x:c r="E135" s="24" t="n">
        <x:v>5794.67</x:v>
      </x:c>
      <x:c r="F135" s="24" t="n">
        <x:v>5728.211</x:v>
      </x:c>
      <x:c r="G135" s="24" t="n">
        <x:v>5740.24</x:v>
      </x:c>
      <x:c r="H135" s="24" t="n">
        <x:v>-59.7</x:v>
      </x:c>
      <x:c r="I135" s="25" t="n">
        <x:v>-0.010291844800939032</x:v>
      </x:c>
      <x:c r="J135" s="24" t="n">
        <x:f>ROUND(E135-F135,1)</x:f>
        <x:v>66.5</x:v>
      </x:c>
      <x:c r="K135" s="23" t="str">
        <x:v>中证500</x:v>
      </x:c>
    </x:row>
    <x:row r="136">
      <x:c r="A136" s="23" t="n">
        <x:v>10</x:v>
      </x:c>
      <x:c r="B136" s="23" t="str">
        <x:v>周一</x:v>
      </x:c>
      <x:c r="C136" s="23" t="str">
        <x:v>6月16日</x:v>
      </x:c>
      <x:c r="D136" s="24" t="n">
        <x:v>5725.003</x:v>
      </x:c>
      <x:c r="E136" s="24" t="n">
        <x:v>5775.949</x:v>
      </x:c>
      <x:c r="F136" s="24" t="n">
        <x:v>5725.003</x:v>
      </x:c>
      <x:c r="G136" s="24" t="n">
        <x:v>5767.808</x:v>
      </x:c>
      <x:c r="H136" s="24" t="n">
        <x:v>27.6</x:v>
      </x:c>
      <x:c r="I136" s="25" t="n">
        <x:v>0.004802586651429186</x:v>
      </x:c>
      <x:c r="J136" s="24" t="n">
        <x:f>ROUND(E136-F136,1)</x:f>
        <x:v>50.9</x:v>
      </x:c>
      <x:c r="K136" s="23" t="str">
        <x:v>中证500</x:v>
      </x:c>
    </x:row>
    <x:row r="137">
      <x:c r="A137" s="23" t="n">
        <x:v>11</x:v>
      </x:c>
      <x:c r="B137" s="23" t="str">
        <x:v>周二</x:v>
      </x:c>
      <x:c r="C137" s="23" t="str">
        <x:v>6月17日</x:v>
      </x:c>
      <x:c r="D137" s="24" t="n">
        <x:v>5772.296</x:v>
      </x:c>
      <x:c r="E137" s="24" t="n">
        <x:v>5776.633</x:v>
      </x:c>
      <x:c r="F137" s="24" t="n">
        <x:v>5734.829</x:v>
      </x:c>
      <x:c r="G137" s="24" t="n">
        <x:v>5750.912</x:v>
      </x:c>
      <x:c r="H137" s="24" t="n">
        <x:v>-16.9</x:v>
      </x:c>
      <x:c r="I137" s="25" t="n">
        <x:v>-0.002929362419830883</x:v>
      </x:c>
      <x:c r="J137" s="24" t="n">
        <x:f>ROUND(E137-F137,1)</x:f>
        <x:v>41.8</x:v>
      </x:c>
      <x:c r="K137" s="23" t="str">
        <x:v>中证500</x:v>
      </x:c>
    </x:row>
    <x:row r="138">
      <x:c r="A138" s="23" t="n">
        <x:v>12</x:v>
      </x:c>
      <x:c r="B138" s="23" t="str">
        <x:v>周三</x:v>
      </x:c>
      <x:c r="C138" s="23" t="str">
        <x:v>6月18日</x:v>
      </x:c>
      <x:c r="D138" s="24" t="n">
        <x:v>5740.156</x:v>
      </x:c>
      <x:c r="E138" s="24" t="n">
        <x:v>5753.712</x:v>
      </x:c>
      <x:c r="F138" s="24" t="n">
        <x:v>5709.803</x:v>
      </x:c>
      <x:c r="G138" s="24" t="n">
        <x:v>5745.871</x:v>
      </x:c>
      <x:c r="H138" s="24" t="n">
        <x:v>-5</x:v>
      </x:c>
      <x:c r="I138" s="25" t="n">
        <x:v>-0.0008765566226713872</x:v>
      </x:c>
      <x:c r="J138" s="24" t="n">
        <x:f>ROUND(E138-F138,1)</x:f>
        <x:v>43.9</x:v>
      </x:c>
      <x:c r="K138" s="23" t="str">
        <x:v>中证500</x:v>
      </x:c>
    </x:row>
    <x:row r="139">
      <x:c r="A139" s="23" t="n">
        <x:v>13</x:v>
      </x:c>
      <x:c r="B139" s="23" t="str">
        <x:v>周四</x:v>
      </x:c>
      <x:c r="C139" s="23" t="str">
        <x:v>6月19日</x:v>
      </x:c>
      <x:c r="D139" s="24" t="n">
        <x:v>5733.807</x:v>
      </x:c>
      <x:c r="E139" s="24" t="n">
        <x:v>5750.464</x:v>
      </x:c>
      <x:c r="F139" s="24" t="n">
        <x:v>5660.05</x:v>
      </x:c>
      <x:c r="G139" s="24" t="n">
        <x:v>5676.832</x:v>
      </x:c>
      <x:c r="H139" s="24" t="n">
        <x:v>-69</x:v>
      </x:c>
      <x:c r="I139" s="25" t="n">
        <x:v>-0.012015410718409725</x:v>
      </x:c>
      <x:c r="J139" s="24" t="n">
        <x:f>ROUND(E139-F139,1)</x:f>
        <x:v>90.4</x:v>
      </x:c>
      <x:c r="K139" s="23" t="str">
        <x:v>中证500</x:v>
      </x:c>
    </x:row>
    <x:row r="140">
      <x:c r="A140" s="33" t="n">
        <x:v>14</x:v>
      </x:c>
      <x:c r="B140" s="33" t="str">
        <x:v>周五</x:v>
      </x:c>
      <x:c r="C140" s="33" t="str">
        <x:v>6月20日</x:v>
      </x:c>
      <x:c r="D140" s="34" t="n">
        <x:v>5669.09</x:v>
      </x:c>
      <x:c r="E140" s="34" t="n">
        <x:v>5688.736</x:v>
      </x:c>
      <x:c r="F140" s="34" t="n">
        <x:v>5636.785</x:v>
      </x:c>
      <x:c r="G140" s="34" t="n">
        <x:v>5639.513</x:v>
      </x:c>
      <x:c r="H140" s="34" t="n">
        <x:v>-37.3</x:v>
      </x:c>
      <x:c r="I140" s="35" t="n">
        <x:v>-0.0065739130557325165</x:v>
      </x:c>
      <x:c r="J140" s="34" t="n">
        <x:f>ROUND(E140-F140,1)</x:f>
        <x:v>52</x:v>
      </x:c>
      <x:c r="K140" s="33" t="str">
        <x:v>中证500</x:v>
      </x:c>
    </x:row>
    <x:row r="141">
      <x:c r="A141" s="23" t="n">
        <x:v>15</x:v>
      </x:c>
      <x:c r="B141" s="23" t="str">
        <x:v>周一</x:v>
      </x:c>
      <x:c r="C141" s="23" t="str">
        <x:v>6月23日</x:v>
      </x:c>
      <x:c r="D141" s="24" t="n">
        <x:v>5613.281</x:v>
      </x:c>
      <x:c r="E141" s="24" t="n">
        <x:v>5684.397</x:v>
      </x:c>
      <x:c r="F141" s="24" t="n">
        <x:v>5613.281</x:v>
      </x:c>
      <x:c r="G141" s="24" t="n">
        <x:v>5674.17</x:v>
      </x:c>
      <x:c r="H141" s="24" t="n">
        <x:v>34.7</x:v>
      </x:c>
      <x:c r="I141" s="25" t="n">
        <x:v>0.006145388795096407</x:v>
      </x:c>
      <x:c r="J141" s="24" t="n">
        <x:f>ROUND(E141-F141,1)</x:f>
        <x:v>71.1</x:v>
      </x:c>
      <x:c r="K141" s="23" t="str">
        <x:v>中证500</x:v>
      </x:c>
    </x:row>
    <x:row r="142">
      <x:c r="A142" s="23" t="n">
        <x:v>16</x:v>
      </x:c>
      <x:c r="B142" s="23" t="str">
        <x:v>周二</x:v>
      </x:c>
      <x:c r="C142" s="23" t="str">
        <x:v>6月24日</x:v>
      </x:c>
      <x:c r="D142" s="24" t="n">
        <x:v>5683.462</x:v>
      </x:c>
      <x:c r="E142" s="24" t="n">
        <x:v>5766.019</x:v>
      </x:c>
      <x:c r="F142" s="24" t="n">
        <x:v>5683.462</x:v>
      </x:c>
      <x:c r="G142" s="24" t="n">
        <x:v>5765.837</x:v>
      </x:c>
      <x:c r="H142" s="24" t="n">
        <x:v>91.7</x:v>
      </x:c>
      <x:c r="I142" s="25" t="n">
        <x:v>0.016155138108304934</x:v>
      </x:c>
      <x:c r="J142" s="24" t="n">
        <x:f>ROUND(E142-F142,1)</x:f>
        <x:v>82.6</x:v>
      </x:c>
      <x:c r="K142" s="23" t="str">
        <x:v>中证500</x:v>
      </x:c>
    </x:row>
    <x:row r="143">
      <x:c r="A143" s="23" t="n">
        <x:v>17</x:v>
      </x:c>
      <x:c r="B143" s="23" t="str">
        <x:v>周三</x:v>
      </x:c>
      <x:c r="C143" s="23" t="str">
        <x:v>6月25日</x:v>
      </x:c>
      <x:c r="D143" s="24" t="n">
        <x:v>5777.74</x:v>
      </x:c>
      <x:c r="E143" s="24" t="n">
        <x:v>5866.525</x:v>
      </x:c>
      <x:c r="F143" s="24" t="n">
        <x:v>5776.124</x:v>
      </x:c>
      <x:c r="G143" s="24" t="n">
        <x:v>5862.553</x:v>
      </x:c>
      <x:c r="H143" s="24" t="n">
        <x:v>96.7</x:v>
      </x:c>
      <x:c r="I143" s="25" t="n">
        <x:v>0.01677397401279279</x:v>
      </x:c>
      <x:c r="J143" s="24" t="n">
        <x:f>ROUND(E143-F143,1)</x:f>
        <x:v>90.4</x:v>
      </x:c>
      <x:c r="K143" s="23" t="str">
        <x:v>中证500</x:v>
      </x:c>
    </x:row>
    <x:row r="144">
      <x:c r="A144" s="23" t="n">
        <x:v>18</x:v>
      </x:c>
      <x:c r="B144" s="23" t="str">
        <x:v>周四</x:v>
      </x:c>
      <x:c r="C144" s="23" t="str">
        <x:v>6月26日</x:v>
      </x:c>
      <x:c r="D144" s="24" t="n">
        <x:v>5868.292</x:v>
      </x:c>
      <x:c r="E144" s="24" t="n">
        <x:v>5885.251</x:v>
      </x:c>
      <x:c r="F144" s="24" t="n">
        <x:v>5835.34</x:v>
      </x:c>
      <x:c r="G144" s="24" t="n">
        <x:v>5838.245</x:v>
      </x:c>
      <x:c r="H144" s="24" t="n">
        <x:v>-24.3</x:v>
      </x:c>
      <x:c r="I144" s="25" t="n">
        <x:v>-0.004146316459740285</x:v>
      </x:c>
      <x:c r="J144" s="24" t="n">
        <x:f>ROUND(E144-F144,1)</x:f>
        <x:v>49.9</x:v>
      </x:c>
      <x:c r="K144" s="23" t="str">
        <x:v>中证500</x:v>
      </x:c>
    </x:row>
    <x:row r="145">
      <x:c r="A145" s="23" t="n">
        <x:v>19</x:v>
      </x:c>
      <x:c r="B145" s="23" t="str">
        <x:v>周五</x:v>
      </x:c>
      <x:c r="C145" s="23" t="str">
        <x:v>6月27日</x:v>
      </x:c>
      <x:c r="D145" s="24" t="n">
        <x:v>5850.425</x:v>
      </x:c>
      <x:c r="E145" s="24" t="n">
        <x:v>5905.696</x:v>
      </x:c>
      <x:c r="F145" s="24" t="n">
        <x:v>5839.578</x:v>
      </x:c>
      <x:c r="G145" s="24" t="n">
        <x:v>5863.728</x:v>
      </x:c>
      <x:c r="H145" s="24" t="n">
        <x:v>25.5</x:v>
      </x:c>
      <x:c r="I145" s="25" t="n">
        <x:v>0.004364839091199446</x:v>
      </x:c>
      <x:c r="J145" s="24" t="n">
        <x:f>ROUND(E145-F145,1)</x:f>
        <x:v>66.1</x:v>
      </x:c>
      <x:c r="K145" s="23" t="str">
        <x:v>中证500</x:v>
      </x:c>
    </x:row>
    <x:row r="146">
      <x:c r="A146" s="23" t="n">
        <x:v>20</x:v>
      </x:c>
      <x:c r="B146" s="23" t="str">
        <x:v>周一</x:v>
      </x:c>
      <x:c r="C146" s="23" t="str">
        <x:v>6月30日</x:v>
      </x:c>
      <x:c r="D146" s="24" t="n">
        <x:v>5877.675</x:v>
      </x:c>
      <x:c r="E146" s="24" t="n">
        <x:v>5918.307</x:v>
      </x:c>
      <x:c r="F146" s="24" t="n">
        <x:v>5872.225</x:v>
      </x:c>
      <x:c r="G146" s="24" t="n">
        <x:v>5915.388</x:v>
      </x:c>
      <x:c r="H146" s="24" t="n">
        <x:v>51.7</x:v>
      </x:c>
      <x:c r="I146" s="25" t="n">
        <x:v>0.008810094874796448</x:v>
      </x:c>
      <x:c r="J146" s="24" t="n">
        <x:f>ROUND(E146-F146,1)</x:f>
        <x:v>46.1</x:v>
      </x:c>
      <x:c r="K146" s="23" t="str">
        <x:v>中证500</x:v>
      </x:c>
    </x:row>
    <x:row r="147">
      <x:c r="A147" s="38" t="str">
        <x:v>合计</x:v>
      </x:c>
      <x:c r="B147" s="37" t="n">
        <x:v>20</x:v>
      </x:c>
      <x:c r="C147" s="37"/>
      <x:c r="D147" s="37"/>
      <x:c r="E147" s="37"/>
      <x:c r="F147" s="37"/>
      <x:c r="G147" s="37"/>
      <x:c r="H147" s="37"/>
      <x:c r="I147" s="37"/>
      <x:c r="J147" s="39" t="n">
        <x:f>ROUND(SUM(J127:J146),1)</x:f>
        <x:v>1192.1</x:v>
      </x:c>
      <x:c r="K147" s="37"/>
    </x:row>
    <x:row r="148">
      <x:c r="A148" s="38" t="str">
        <x:v>均值</x:v>
      </x:c>
      <x:c r="B148" s="37"/>
      <x:c r="C148" s="37"/>
      <x:c r="D148" s="37"/>
      <x:c r="E148" s="37"/>
      <x:c r="F148" s="37"/>
      <x:c r="G148" s="37"/>
      <x:c r="H148" s="37"/>
      <x:c r="I148" s="37"/>
      <x:c r="J148" s="41" t="n">
        <x:f>ROUND(IFERROR(AVERAGE(J127:J146),0),1)</x:f>
        <x:v>59.6</x:v>
      </x:c>
      <x:c r="K148" s="37"/>
    </x:row>
    <x:row r="150">
      <x:c r="A150" s="17" t="str">
        <x:v>7月</x:v>
      </x:c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</x:row>
    <x:row r="151">
      <x:c r="A151" s="20" t="str">
        <x:v>序号</x:v>
      </x:c>
      <x:c r="B151" s="20" t="str">
        <x:v>星期</x:v>
      </x:c>
      <x:c r="C151" s="20" t="str">
        <x:v>日期</x:v>
      </x:c>
      <x:c r="D151" s="20" t="str">
        <x:v>开盘</x:v>
      </x:c>
      <x:c r="E151" s="20" t="str">
        <x:v>高点</x:v>
      </x:c>
      <x:c r="F151" s="20" t="str">
        <x:v>低点</x:v>
      </x:c>
      <x:c r="G151" s="20" t="str">
        <x:v>收盘</x:v>
      </x:c>
      <x:c r="H151" s="20" t="str">
        <x:v>涨跌点数</x:v>
      </x:c>
      <x:c r="I151" s="20" t="str">
        <x:v>涨幅</x:v>
      </x:c>
      <x:c r="J151" s="20" t="str">
        <x:v>振幅</x:v>
      </x:c>
      <x:c r="K151" s="20" t="str">
        <x:v>标的</x:v>
      </x:c>
    </x:row>
    <x:row r="152">
      <x:c r="A152" s="23" t="n">
        <x:v>1</x:v>
      </x:c>
      <x:c r="B152" s="23" t="str">
        <x:v>周二</x:v>
      </x:c>
      <x:c r="C152" s="23" t="str">
        <x:v>7月1日</x:v>
      </x:c>
      <x:c r="D152" s="24" t="n">
        <x:v>5915.804</x:v>
      </x:c>
      <x:c r="E152" s="24" t="n">
        <x:v>5936.924</x:v>
      </x:c>
      <x:c r="F152" s="24" t="n">
        <x:v>5890.114</x:v>
      </x:c>
      <x:c r="G152" s="24" t="n">
        <x:v>5934.67</x:v>
      </x:c>
      <x:c r="H152" s="24" t="n">
        <x:v>19.3</x:v>
      </x:c>
      <x:c r="I152" s="25" t="n">
        <x:v>0.003259634025697178</x:v>
      </x:c>
      <x:c r="J152" s="24" t="n">
        <x:f>ROUND(E152-F152,1)</x:f>
        <x:v>46.8</x:v>
      </x:c>
      <x:c r="K152" s="23" t="str">
        <x:v>中证500</x:v>
      </x:c>
    </x:row>
    <x:row r="153">
      <x:c r="A153" s="23" t="n">
        <x:v>2</x:v>
      </x:c>
      <x:c r="B153" s="23" t="str">
        <x:v>周三</x:v>
      </x:c>
      <x:c r="C153" s="23" t="str">
        <x:v>7月2日</x:v>
      </x:c>
      <x:c r="D153" s="24" t="n">
        <x:v>5922.541</x:v>
      </x:c>
      <x:c r="E153" s="24" t="n">
        <x:v>5922.541</x:v>
      </x:c>
      <x:c r="F153" s="24" t="n">
        <x:v>5873.892</x:v>
      </x:c>
      <x:c r="G153" s="24" t="n">
        <x:v>5892.951</x:v>
      </x:c>
      <x:c r="H153" s="24" t="n">
        <x:v>-41.7</x:v>
      </x:c>
      <x:c r="I153" s="25" t="n">
        <x:v>-0.007029708475787211</x:v>
      </x:c>
      <x:c r="J153" s="24" t="n">
        <x:f>ROUND(E153-F153,1)</x:f>
        <x:v>48.6</x:v>
      </x:c>
      <x:c r="K153" s="23" t="str">
        <x:v>中证500</x:v>
      </x:c>
    </x:row>
    <x:row r="154">
      <x:c r="A154" s="23" t="n">
        <x:v>3</x:v>
      </x:c>
      <x:c r="B154" s="23" t="str">
        <x:v>周四</x:v>
      </x:c>
      <x:c r="C154" s="23" t="str">
        <x:v>7月3日</x:v>
      </x:c>
      <x:c r="D154" s="24" t="n">
        <x:v>5896.24</x:v>
      </x:c>
      <x:c r="E154" s="24" t="n">
        <x:v>5929.727</x:v>
      </x:c>
      <x:c r="F154" s="24" t="n">
        <x:v>5885.943</x:v>
      </x:c>
      <x:c r="G154" s="24" t="n">
        <x:v>5922.66</x:v>
      </x:c>
      <x:c r="H154" s="24" t="n">
        <x:v>29.7</x:v>
      </x:c>
      <x:c r="I154" s="25" t="n">
        <x:v>0.005041446976226327</x:v>
      </x:c>
      <x:c r="J154" s="24" t="n">
        <x:f>ROUND(E154-F154,1)</x:f>
        <x:v>43.8</x:v>
      </x:c>
      <x:c r="K154" s="23" t="str">
        <x:v>中证500</x:v>
      </x:c>
    </x:row>
    <x:row r="155">
      <x:c r="A155" s="23" t="n">
        <x:v>4</x:v>
      </x:c>
      <x:c r="B155" s="23" t="str">
        <x:v>周五</x:v>
      </x:c>
      <x:c r="C155" s="23" t="str">
        <x:v>7月4日</x:v>
      </x:c>
      <x:c r="D155" s="24" t="n">
        <x:v>5917.753</x:v>
      </x:c>
      <x:c r="E155" s="24" t="n">
        <x:v>5969.303</x:v>
      </x:c>
      <x:c r="F155" s="24" t="n">
        <x:v>5889.73</x:v>
      </x:c>
      <x:c r="G155" s="24" t="n">
        <x:v>5911.435</x:v>
      </x:c>
      <x:c r="H155" s="24" t="n">
        <x:v>-11.2</x:v>
      </x:c>
      <x:c r="I155" s="25" t="n">
        <x:v>-0.0018952632769734246</x:v>
      </x:c>
      <x:c r="J155" s="24" t="n">
        <x:f>ROUND(E155-F155,1)</x:f>
        <x:v>79.6</x:v>
      </x:c>
      <x:c r="K155" s="23" t="str">
        <x:v>中证500</x:v>
      </x:c>
    </x:row>
    <x:row r="156">
      <x:c r="A156" s="23" t="n">
        <x:v>5</x:v>
      </x:c>
      <x:c r="B156" s="23" t="str">
        <x:v>周一</x:v>
      </x:c>
      <x:c r="C156" s="23" t="str">
        <x:v>7月7日</x:v>
      </x:c>
      <x:c r="D156" s="24" t="n">
        <x:v>5901.402</x:v>
      </x:c>
      <x:c r="E156" s="24" t="n">
        <x:v>5910.804</x:v>
      </x:c>
      <x:c r="F156" s="24" t="n">
        <x:v>5889.602</x:v>
      </x:c>
      <x:c r="G156" s="24" t="n">
        <x:v>5900.406</x:v>
      </x:c>
      <x:c r="H156" s="24" t="n">
        <x:v>-11</x:v>
      </x:c>
      <x:c r="I156" s="25" t="n">
        <x:v>-0.0018657060426107153</x:v>
      </x:c>
      <x:c r="J156" s="24" t="n">
        <x:f>ROUND(E156-F156,1)</x:f>
        <x:v>21.2</x:v>
      </x:c>
      <x:c r="K156" s="23" t="str">
        <x:v>中证500</x:v>
      </x:c>
    </x:row>
    <x:row r="157">
      <x:c r="A157" s="23" t="n">
        <x:v>6</x:v>
      </x:c>
      <x:c r="B157" s="23" t="str">
        <x:v>周二</x:v>
      </x:c>
      <x:c r="C157" s="23" t="str">
        <x:v>7月8日</x:v>
      </x:c>
      <x:c r="D157" s="24" t="n">
        <x:v>5903.102</x:v>
      </x:c>
      <x:c r="E157" s="24" t="n">
        <x:v>5979.627</x:v>
      </x:c>
      <x:c r="F157" s="24" t="n">
        <x:v>5903.102</x:v>
      </x:c>
      <x:c r="G157" s="24" t="n">
        <x:v>5977.744</x:v>
      </x:c>
      <x:c r="H157" s="24" t="n">
        <x:v>77.3</x:v>
      </x:c>
      <x:c r="I157" s="25" t="n">
        <x:v>0.013107233637820848</x:v>
      </x:c>
      <x:c r="J157" s="24" t="n">
        <x:f>ROUND(E157-F157,1)</x:f>
        <x:v>76.5</x:v>
      </x:c>
      <x:c r="K157" s="23" t="str">
        <x:v>中证500</x:v>
      </x:c>
    </x:row>
    <x:row r="158">
      <x:c r="A158" s="23" t="n">
        <x:v>7</x:v>
      </x:c>
      <x:c r="B158" s="23" t="str">
        <x:v>周三</x:v>
      </x:c>
      <x:c r="C158" s="23" t="str">
        <x:v>7月9日</x:v>
      </x:c>
      <x:c r="D158" s="24" t="n">
        <x:v>5980.645</x:v>
      </x:c>
      <x:c r="E158" s="24" t="n">
        <x:v>5992.135</x:v>
      </x:c>
      <x:c r="F158" s="24" t="n">
        <x:v>5940.176</x:v>
      </x:c>
      <x:c r="G158" s="24" t="n">
        <x:v>5953.487</x:v>
      </x:c>
      <x:c r="H158" s="24" t="n">
        <x:v>-24.3</x:v>
      </x:c>
      <x:c r="I158" s="25" t="n">
        <x:v>-0.004057885382846682</x:v>
      </x:c>
      <x:c r="J158" s="24" t="n">
        <x:f>ROUND(E158-F158,1)</x:f>
        <x:v>52</x:v>
      </x:c>
      <x:c r="K158" s="23" t="str">
        <x:v>中证500</x:v>
      </x:c>
    </x:row>
    <x:row r="159">
      <x:c r="A159" s="23" t="n">
        <x:v>8</x:v>
      </x:c>
      <x:c r="B159" s="23" t="str">
        <x:v>周四</x:v>
      </x:c>
      <x:c r="C159" s="23" t="str">
        <x:v>7月10日</x:v>
      </x:c>
      <x:c r="D159" s="24" t="n">
        <x:v>5950.966</x:v>
      </x:c>
      <x:c r="E159" s="24" t="n">
        <x:v>6000.686</x:v>
      </x:c>
      <x:c r="F159" s="24" t="n">
        <x:v>5942.29</x:v>
      </x:c>
      <x:c r="G159" s="24" t="n">
        <x:v>5983.051</x:v>
      </x:c>
      <x:c r="H159" s="24" t="n">
        <x:v>29.6</x:v>
      </x:c>
      <x:c r="I159" s="25" t="n">
        <x:v>0.004965829269468536</x:v>
      </x:c>
      <x:c r="J159" s="24" t="n">
        <x:f>ROUND(E159-F159,1)</x:f>
        <x:v>58.4</x:v>
      </x:c>
      <x:c r="K159" s="23" t="str">
        <x:v>中证500</x:v>
      </x:c>
    </x:row>
    <x:row r="160">
      <x:c r="A160" s="23" t="n">
        <x:v>9</x:v>
      </x:c>
      <x:c r="B160" s="23" t="str">
        <x:v>周五</x:v>
      </x:c>
      <x:c r="C160" s="23" t="str">
        <x:v>7月11日</x:v>
      </x:c>
      <x:c r="D160" s="24" t="n">
        <x:v>5985.824</x:v>
      </x:c>
      <x:c r="E160" s="24" t="n">
        <x:v>6057.623</x:v>
      </x:c>
      <x:c r="F160" s="24" t="n">
        <x:v>5963.257</x:v>
      </x:c>
      <x:c r="G160" s="24" t="n">
        <x:v>6027.079</x:v>
      </x:c>
      <x:c r="H160" s="24" t="n">
        <x:v>44</x:v>
      </x:c>
      <x:c r="I160" s="25" t="n">
        <x:v>0.007358787347792939</x:v>
      </x:c>
      <x:c r="J160" s="24" t="n">
        <x:f>ROUND(E160-F160,1)</x:f>
        <x:v>94.4</x:v>
      </x:c>
      <x:c r="K160" s="23" t="str">
        <x:v>中证500</x:v>
      </x:c>
    </x:row>
    <x:row r="161">
      <x:c r="A161" s="23" t="n">
        <x:v>10</x:v>
      </x:c>
      <x:c r="B161" s="23" t="str">
        <x:v>周一</x:v>
      </x:c>
      <x:c r="C161" s="23" t="str">
        <x:v>7月14日</x:v>
      </x:c>
      <x:c r="D161" s="24" t="n">
        <x:v>6033.178</x:v>
      </x:c>
      <x:c r="E161" s="24" t="n">
        <x:v>6042.886</x:v>
      </x:c>
      <x:c r="F161" s="24" t="n">
        <x:v>6011.687</x:v>
      </x:c>
      <x:c r="G161" s="24" t="n">
        <x:v>6020.859</x:v>
      </x:c>
      <x:c r="H161" s="24" t="n">
        <x:v>-6.2</x:v>
      </x:c>
      <x:c r="I161" s="25" t="n">
        <x:v>-0.0010320090378771463</x:v>
      </x:c>
      <x:c r="J161" s="24" t="n">
        <x:f>ROUND(E161-F161,1)</x:f>
        <x:v>31.2</x:v>
      </x:c>
      <x:c r="K161" s="23" t="str">
        <x:v>中证500</x:v>
      </x:c>
    </x:row>
    <x:row r="162">
      <x:c r="A162" s="23" t="n">
        <x:v>11</x:v>
      </x:c>
      <x:c r="B162" s="23" t="str">
        <x:v>周二</x:v>
      </x:c>
      <x:c r="C162" s="23" t="str">
        <x:v>7月15日</x:v>
      </x:c>
      <x:c r="D162" s="24" t="n">
        <x:v>6018.627</x:v>
      </x:c>
      <x:c r="E162" s="24" t="n">
        <x:v>6049.787</x:v>
      </x:c>
      <x:c r="F162" s="24" t="n">
        <x:v>5973.797</x:v>
      </x:c>
      <x:c r="G162" s="24" t="n">
        <x:v>6018.758</x:v>
      </x:c>
      <x:c r="H162" s="24" t="n">
        <x:v>-2.1</x:v>
      </x:c>
      <x:c r="I162" s="25" t="n">
        <x:v>-0.0003489535297206414</x:v>
      </x:c>
      <x:c r="J162" s="24" t="n">
        <x:f>ROUND(E162-F162,1)</x:f>
        <x:v>76</x:v>
      </x:c>
      <x:c r="K162" s="23" t="str">
        <x:v>中证500</x:v>
      </x:c>
    </x:row>
    <x:row r="163">
      <x:c r="A163" s="23" t="n">
        <x:v>12</x:v>
      </x:c>
      <x:c r="B163" s="23" t="str">
        <x:v>周三</x:v>
      </x:c>
      <x:c r="C163" s="23" t="str">
        <x:v>7月16日</x:v>
      </x:c>
      <x:c r="D163" s="24" t="n">
        <x:v>6019.577</x:v>
      </x:c>
      <x:c r="E163" s="24" t="n">
        <x:v>6061.199</x:v>
      </x:c>
      <x:c r="F163" s="24" t="n">
        <x:v>5997.163</x:v>
      </x:c>
      <x:c r="G163" s="24" t="n">
        <x:v>6017.195</x:v>
      </x:c>
      <x:c r="H163" s="24" t="n">
        <x:v>-1.6</x:v>
      </x:c>
      <x:c r="I163" s="25" t="n">
        <x:v>-0.0002596881283480901</x:v>
      </x:c>
      <x:c r="J163" s="24" t="n">
        <x:f>ROUND(E163-F163,1)</x:f>
        <x:v>64</x:v>
      </x:c>
      <x:c r="K163" s="23" t="str">
        <x:v>中证500</x:v>
      </x:c>
    </x:row>
    <x:row r="164">
      <x:c r="A164" s="23" t="n">
        <x:v>13</x:v>
      </x:c>
      <x:c r="B164" s="23" t="str">
        <x:v>周四</x:v>
      </x:c>
      <x:c r="C164" s="23" t="str">
        <x:v>7月17日</x:v>
      </x:c>
      <x:c r="D164" s="24" t="n">
        <x:v>6013.714</x:v>
      </x:c>
      <x:c r="E164" s="24" t="n">
        <x:v>6082.464</x:v>
      </x:c>
      <x:c r="F164" s="24" t="n">
        <x:v>6013.044</x:v>
      </x:c>
      <x:c r="G164" s="24" t="n">
        <x:v>6082.464</x:v>
      </x:c>
      <x:c r="H164" s="24" t="n">
        <x:v>65.3</x:v>
      </x:c>
      <x:c r="I164" s="25" t="n">
        <x:v>0.010847080741109405</x:v>
      </x:c>
      <x:c r="J164" s="24" t="n">
        <x:f>ROUND(E164-F164,1)</x:f>
        <x:v>69.4</x:v>
      </x:c>
      <x:c r="K164" s="23" t="str">
        <x:v>中证500</x:v>
      </x:c>
    </x:row>
    <x:row r="165">
      <x:c r="A165" s="33" t="n">
        <x:v>14</x:v>
      </x:c>
      <x:c r="B165" s="33" t="str">
        <x:v>周五</x:v>
      </x:c>
      <x:c r="C165" s="33" t="str">
        <x:v>7月18日</x:v>
      </x:c>
      <x:c r="D165" s="34" t="n">
        <x:v>6092.23</x:v>
      </x:c>
      <x:c r="E165" s="34" t="n">
        <x:v>6112.11</x:v>
      </x:c>
      <x:c r="F165" s="34" t="n">
        <x:v>6073.638</x:v>
      </x:c>
      <x:c r="G165" s="34" t="n">
        <x:v>6099.61</x:v>
      </x:c>
      <x:c r="H165" s="34" t="n">
        <x:v>17.1</x:v>
      </x:c>
      <x:c r="I165" s="35" t="n">
        <x:v>0.002818923383681282</x:v>
      </x:c>
      <x:c r="J165" s="34" t="n">
        <x:f>ROUND(E165-F165,1)</x:f>
        <x:v>38.5</x:v>
      </x:c>
      <x:c r="K165" s="33" t="str">
        <x:v>中证500</x:v>
      </x:c>
    </x:row>
    <x:row r="166">
      <x:c r="A166" s="23" t="n">
        <x:v>15</x:v>
      </x:c>
      <x:c r="B166" s="23" t="str">
        <x:v>周一</x:v>
      </x:c>
      <x:c r="C166" s="23" t="str">
        <x:v>7月21日</x:v>
      </x:c>
      <x:c r="D166" s="24" t="n">
        <x:v>6115.026</x:v>
      </x:c>
      <x:c r="E166" s="24" t="n">
        <x:v>6162.44</x:v>
      </x:c>
      <x:c r="F166" s="24" t="n">
        <x:v>6110.988</x:v>
      </x:c>
      <x:c r="G166" s="24" t="n">
        <x:v>6161.309</x:v>
      </x:c>
      <x:c r="H166" s="24" t="n">
        <x:v>61.7</x:v>
      </x:c>
      <x:c r="I166" s="25" t="n">
        <x:v>0.010115236875800404</x:v>
      </x:c>
      <x:c r="J166" s="24" t="n">
        <x:f>ROUND(E166-F166,1)</x:f>
        <x:v>51.5</x:v>
      </x:c>
      <x:c r="K166" s="23" t="str">
        <x:v>中证500</x:v>
      </x:c>
    </x:row>
    <x:row r="167">
      <x:c r="A167" s="23" t="n">
        <x:v>16</x:v>
      </x:c>
      <x:c r="B167" s="23" t="str">
        <x:v>周二</x:v>
      </x:c>
      <x:c r="C167" s="23" t="str">
        <x:v>7月22日</x:v>
      </x:c>
      <x:c r="D167" s="24" t="n">
        <x:v>6166.616</x:v>
      </x:c>
      <x:c r="E167" s="24" t="n">
        <x:v>6215.406</x:v>
      </x:c>
      <x:c r="F167" s="24" t="n">
        <x:v>6152.814</x:v>
      </x:c>
      <x:c r="G167" s="24" t="n">
        <x:v>6213.407</x:v>
      </x:c>
      <x:c r="H167" s="24" t="n">
        <x:v>52.1</x:v>
      </x:c>
      <x:c r="I167" s="25" t="n">
        <x:v>0.008455670702443241</x:v>
      </x:c>
      <x:c r="J167" s="24" t="n">
        <x:f>ROUND(E167-F167,1)</x:f>
        <x:v>62.6</x:v>
      </x:c>
      <x:c r="K167" s="23" t="str">
        <x:v>中证500</x:v>
      </x:c>
    </x:row>
    <x:row r="168">
      <x:c r="A168" s="23" t="n">
        <x:v>17</x:v>
      </x:c>
      <x:c r="B168" s="23" t="str">
        <x:v>周三</x:v>
      </x:c>
      <x:c r="C168" s="23" t="str">
        <x:v>7月23日</x:v>
      </x:c>
      <x:c r="D168" s="24" t="n">
        <x:v>6218.207</x:v>
      </x:c>
      <x:c r="E168" s="24" t="n">
        <x:v>6256.152</x:v>
      </x:c>
      <x:c r="F168" s="24" t="n">
        <x:v>6187.012</x:v>
      </x:c>
      <x:c r="G168" s="24" t="n">
        <x:v>6196.758</x:v>
      </x:c>
      <x:c r="H168" s="24" t="n">
        <x:v>-16.6</x:v>
      </x:c>
      <x:c r="I168" s="25" t="n">
        <x:v>-0.002679528316751223</x:v>
      </x:c>
      <x:c r="J168" s="24" t="n">
        <x:f>ROUND(E168-F168,1)</x:f>
        <x:v>69.1</x:v>
      </x:c>
      <x:c r="K168" s="23" t="str">
        <x:v>中证500</x:v>
      </x:c>
    </x:row>
    <x:row r="169">
      <x:c r="A169" s="23" t="n">
        <x:v>18</x:v>
      </x:c>
      <x:c r="B169" s="23" t="str">
        <x:v>周四</x:v>
      </x:c>
      <x:c r="C169" s="23" t="str">
        <x:v>7月24日</x:v>
      </x:c>
      <x:c r="D169" s="24" t="n">
        <x:v>6197.853</x:v>
      </x:c>
      <x:c r="E169" s="24" t="n">
        <x:v>6293.598</x:v>
      </x:c>
      <x:c r="F169" s="24" t="n">
        <x:v>6197.853</x:v>
      </x:c>
      <x:c r="G169" s="24" t="n">
        <x:v>6293.598</x:v>
      </x:c>
      <x:c r="H169" s="24" t="n">
        <x:v>96.8</x:v>
      </x:c>
      <x:c r="I169" s="25" t="n">
        <x:v>0.01562752652273991</x:v>
      </x:c>
      <x:c r="J169" s="24" t="n">
        <x:f>ROUND(E169-F169,1)</x:f>
        <x:v>95.7</x:v>
      </x:c>
      <x:c r="K169" s="23" t="str">
        <x:v>中证500</x:v>
      </x:c>
    </x:row>
    <x:row r="170">
      <x:c r="A170" s="23" t="n">
        <x:v>19</x:v>
      </x:c>
      <x:c r="B170" s="23" t="str">
        <x:v>周五</x:v>
      </x:c>
      <x:c r="C170" s="23" t="str">
        <x:v>7月25日</x:v>
      </x:c>
      <x:c r="D170" s="24" t="n">
        <x:v>6297.626</x:v>
      </x:c>
      <x:c r="E170" s="24" t="n">
        <x:v>6311.169</x:v>
      </x:c>
      <x:c r="F170" s="24" t="n">
        <x:v>6276.416</x:v>
      </x:c>
      <x:c r="G170" s="24" t="n">
        <x:v>6299.591</x:v>
      </x:c>
      <x:c r="H170" s="24" t="n">
        <x:v>6</x:v>
      </x:c>
      <x:c r="I170" s="25" t="n">
        <x:v>0.0009522374959443081</x:v>
      </x:c>
      <x:c r="J170" s="24" t="n">
        <x:f>ROUND(E170-F170,1)</x:f>
        <x:v>34.8</x:v>
      </x:c>
      <x:c r="K170" s="23" t="str">
        <x:v>中证500</x:v>
      </x:c>
    </x:row>
    <x:row r="171">
      <x:c r="A171" s="23" t="n">
        <x:v>20</x:v>
      </x:c>
      <x:c r="B171" s="23" t="str">
        <x:v>周一</x:v>
      </x:c>
      <x:c r="C171" s="23" t="str">
        <x:v>7月28日</x:v>
      </x:c>
      <x:c r="D171" s="24" t="n">
        <x:v>6305.225</x:v>
      </x:c>
      <x:c r="E171" s="24" t="n">
        <x:v>6329.03</x:v>
      </x:c>
      <x:c r="F171" s="24" t="n">
        <x:v>6271.93</x:v>
      </x:c>
      <x:c r="G171" s="24" t="n">
        <x:v>6323.42</x:v>
      </x:c>
      <x:c r="H171" s="24" t="n">
        <x:v>23.8</x:v>
      </x:c>
      <x:c r="I171" s="25" t="n">
        <x:v>0.003782626522896404</x:v>
      </x:c>
      <x:c r="J171" s="24" t="n">
        <x:f>ROUND(E171-F171,1)</x:f>
        <x:v>57.1</x:v>
      </x:c>
      <x:c r="K171" s="23" t="str">
        <x:v>中证500</x:v>
      </x:c>
    </x:row>
    <x:row r="172">
      <x:c r="A172" s="23" t="n">
        <x:v>21</x:v>
      </x:c>
      <x:c r="B172" s="23" t="str">
        <x:v>周二</x:v>
      </x:c>
      <x:c r="C172" s="23" t="str">
        <x:v>7月29日</x:v>
      </x:c>
      <x:c r="D172" s="24" t="n">
        <x:v>6308.123</x:v>
      </x:c>
      <x:c r="E172" s="24" t="n">
        <x:v>6356.15</x:v>
      </x:c>
      <x:c r="F172" s="24" t="n">
        <x:v>6272.314</x:v>
      </x:c>
      <x:c r="G172" s="24" t="n">
        <x:v>6356.133</x:v>
      </x:c>
      <x:c r="H172" s="24" t="n">
        <x:v>32.7</x:v>
      </x:c>
      <x:c r="I172" s="25" t="n">
        <x:v>0.005173308114912567</x:v>
      </x:c>
      <x:c r="J172" s="24" t="n">
        <x:f>ROUND(E172-F172,1)</x:f>
        <x:v>83.8</x:v>
      </x:c>
      <x:c r="K172" s="23" t="str">
        <x:v>中证500</x:v>
      </x:c>
    </x:row>
    <x:row r="173">
      <x:c r="A173" s="23" t="n">
        <x:v>22</x:v>
      </x:c>
      <x:c r="B173" s="23" t="str">
        <x:v>周三</x:v>
      </x:c>
      <x:c r="C173" s="23" t="str">
        <x:v>7月30日</x:v>
      </x:c>
      <x:c r="D173" s="24" t="n">
        <x:v>6345.374</x:v>
      </x:c>
      <x:c r="E173" s="24" t="n">
        <x:v>6368.269</x:v>
      </x:c>
      <x:c r="F173" s="24" t="n">
        <x:v>6269.513</x:v>
      </x:c>
      <x:c r="G173" s="24" t="n">
        <x:v>6314.687</x:v>
      </x:c>
      <x:c r="H173" s="24" t="n">
        <x:v>-41.4</x:v>
      </x:c>
      <x:c r="I173" s="25" t="n">
        <x:v>-0.006520631333548188</x:v>
      </x:c>
      <x:c r="J173" s="24" t="n">
        <x:f>ROUND(E173-F173,1)</x:f>
        <x:v>98.8</x:v>
      </x:c>
      <x:c r="K173" s="23" t="str">
        <x:v>中证500</x:v>
      </x:c>
    </x:row>
    <x:row r="174">
      <x:c r="A174" s="23" t="n">
        <x:v>23</x:v>
      </x:c>
      <x:c r="B174" s="23" t="str">
        <x:v>周四</x:v>
      </x:c>
      <x:c r="C174" s="23" t="str">
        <x:v>7月31日</x:v>
      </x:c>
      <x:c r="D174" s="24" t="n">
        <x:v>6297.912</x:v>
      </x:c>
      <x:c r="E174" s="24" t="n">
        <x:v>6322.065</x:v>
      </x:c>
      <x:c r="F174" s="24" t="n">
        <x:v>6206.19</x:v>
      </x:c>
      <x:c r="G174" s="24" t="n">
        <x:v>6226.343</x:v>
      </x:c>
      <x:c r="H174" s="24" t="n">
        <x:v>-88.3</x:v>
      </x:c>
      <x:c r="I174" s="25" t="n">
        <x:v>-0.013990242113346207</x:v>
      </x:c>
      <x:c r="J174" s="24" t="n">
        <x:f>ROUND(E174-F174,1)</x:f>
        <x:v>115.9</x:v>
      </x:c>
      <x:c r="K174" s="23" t="str">
        <x:v>中证500</x:v>
      </x:c>
    </x:row>
    <x:row r="175">
      <x:c r="A175" s="38" t="str">
        <x:v>合计</x:v>
      </x:c>
      <x:c r="B175" s="37" t="n">
        <x:v>23</x:v>
      </x:c>
      <x:c r="C175" s="37"/>
      <x:c r="D175" s="37"/>
      <x:c r="E175" s="37"/>
      <x:c r="F175" s="37"/>
      <x:c r="G175" s="37"/>
      <x:c r="H175" s="37"/>
      <x:c r="I175" s="37"/>
      <x:c r="J175" s="39" t="n">
        <x:f>ROUND(SUM(J152:J174),1)</x:f>
        <x:v>1469.7</x:v>
      </x:c>
      <x:c r="K175" s="37"/>
    </x:row>
    <x:row r="176">
      <x:c r="A176" s="38" t="str">
        <x:v>均值</x:v>
      </x:c>
      <x:c r="B176" s="37"/>
      <x:c r="C176" s="37"/>
      <x:c r="D176" s="37"/>
      <x:c r="E176" s="37"/>
      <x:c r="F176" s="37"/>
      <x:c r="G176" s="37"/>
      <x:c r="H176" s="37"/>
      <x:c r="I176" s="37"/>
      <x:c r="J176" s="41" t="n">
        <x:f>ROUND(IFERROR(AVERAGE(J152:J174),0),1)</x:f>
        <x:v>63.9</x:v>
      </x:c>
      <x:c r="K176" s="37"/>
    </x:row>
    <x:row r="178">
      <x:c r="A178" s="17" t="str">
        <x:v>8月</x:v>
      </x:c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</x:row>
    <x:row r="179">
      <x:c r="A179" s="20" t="str">
        <x:v>序号</x:v>
      </x:c>
      <x:c r="B179" s="20" t="str">
        <x:v>星期</x:v>
      </x:c>
      <x:c r="C179" s="20" t="str">
        <x:v>日期</x:v>
      </x:c>
      <x:c r="D179" s="20" t="str">
        <x:v>开盘</x:v>
      </x:c>
      <x:c r="E179" s="20" t="str">
        <x:v>高点</x:v>
      </x:c>
      <x:c r="F179" s="20" t="str">
        <x:v>低点</x:v>
      </x:c>
      <x:c r="G179" s="20" t="str">
        <x:v>收盘</x:v>
      </x:c>
      <x:c r="H179" s="20" t="str">
        <x:v>涨跌点数</x:v>
      </x:c>
      <x:c r="I179" s="20" t="str">
        <x:v>涨幅</x:v>
      </x:c>
      <x:c r="J179" s="20" t="str">
        <x:v>振幅</x:v>
      </x:c>
      <x:c r="K179" s="20" t="str">
        <x:v>标的</x:v>
      </x:c>
    </x:row>
    <x:row r="180">
      <x:c r="A180" s="23" t="n">
        <x:v>1</x:v>
      </x:c>
      <x:c r="B180" s="23" t="str">
        <x:v>周五</x:v>
      </x:c>
      <x:c r="C180" s="23" t="str">
        <x:v>8月1日</x:v>
      </x:c>
      <x:c r="D180" s="24" t="n">
        <x:v>6221.051</x:v>
      </x:c>
      <x:c r="E180" s="24" t="n">
        <x:v>6253.658</x:v>
      </x:c>
      <x:c r="F180" s="24" t="n">
        <x:v>6177.478</x:v>
      </x:c>
      <x:c r="G180" s="24" t="n">
        <x:v>6213.201</x:v>
      </x:c>
      <x:c r="H180" s="24" t="n">
        <x:v>-13.1</x:v>
      </x:c>
      <x:c r="I180" s="25" t="n">
        <x:v>-0.0021107092879399936</x:v>
      </x:c>
      <x:c r="J180" s="24" t="n">
        <x:f>ROUND(E180-F180,1)</x:f>
        <x:v>76.2</x:v>
      </x:c>
      <x:c r="K180" s="23" t="str">
        <x:v>中证500</x:v>
      </x:c>
    </x:row>
    <x:row r="181">
      <x:c r="A181" s="23" t="n">
        <x:v>2</x:v>
      </x:c>
      <x:c r="B181" s="23" t="str">
        <x:v>周一</x:v>
      </x:c>
      <x:c r="C181" s="23" t="str">
        <x:v>8月4日</x:v>
      </x:c>
      <x:c r="D181" s="24" t="n">
        <x:v>6190.344</x:v>
      </x:c>
      <x:c r="E181" s="24" t="n">
        <x:v>6261.962</x:v>
      </x:c>
      <x:c r="F181" s="24" t="n">
        <x:v>6187.622</x:v>
      </x:c>
      <x:c r="G181" s="24" t="n">
        <x:v>6261.731</x:v>
      </x:c>
      <x:c r="H181" s="24" t="n">
        <x:v>48.5</x:v>
      </x:c>
      <x:c r="I181" s="25" t="n">
        <x:v>0.007810788673986213</x:v>
      </x:c>
      <x:c r="J181" s="24" t="n">
        <x:f>ROUND(E181-F181,1)</x:f>
        <x:v>74.3</x:v>
      </x:c>
      <x:c r="K181" s="23" t="str">
        <x:v>中证500</x:v>
      </x:c>
    </x:row>
    <x:row r="182">
      <x:c r="A182" s="23" t="n">
        <x:v>3</x:v>
      </x:c>
      <x:c r="B182" s="23" t="str">
        <x:v>周二</x:v>
      </x:c>
      <x:c r="C182" s="23" t="str">
        <x:v>8月5日</x:v>
      </x:c>
      <x:c r="D182" s="24" t="n">
        <x:v>6277.011</x:v>
      </x:c>
      <x:c r="E182" s="24" t="n">
        <x:v>6303.236</x:v>
      </x:c>
      <x:c r="F182" s="24" t="n">
        <x:v>6272.506</x:v>
      </x:c>
      <x:c r="G182" s="24" t="n">
        <x:v>6303.236</x:v>
      </x:c>
      <x:c r="H182" s="24" t="n">
        <x:v>41.5</x:v>
      </x:c>
      <x:c r="I182" s="25" t="n">
        <x:v>0.006628358835599979</x:v>
      </x:c>
      <x:c r="J182" s="24" t="n">
        <x:f>ROUND(E182-F182,1)</x:f>
        <x:v>30.7</x:v>
      </x:c>
      <x:c r="K182" s="23" t="str">
        <x:v>中证500</x:v>
      </x:c>
    </x:row>
    <x:row r="183">
      <x:c r="A183" s="23" t="n">
        <x:v>4</x:v>
      </x:c>
      <x:c r="B183" s="23" t="str">
        <x:v>周三</x:v>
      </x:c>
      <x:c r="C183" s="23" t="str">
        <x:v>8月6日</x:v>
      </x:c>
      <x:c r="D183" s="24" t="n">
        <x:v>6298.929</x:v>
      </x:c>
      <x:c r="E183" s="24" t="n">
        <x:v>6357.59</x:v>
      </x:c>
      <x:c r="F183" s="24" t="n">
        <x:v>6293.225</x:v>
      </x:c>
      <x:c r="G183" s="24" t="n">
        <x:v>6357.377</x:v>
      </x:c>
      <x:c r="H183" s="24" t="n">
        <x:v>54.1</x:v>
      </x:c>
      <x:c r="I183" s="25" t="n">
        <x:v>0.008589397572929203</x:v>
      </x:c>
      <x:c r="J183" s="24" t="n">
        <x:f>ROUND(E183-F183,1)</x:f>
        <x:v>64.4</x:v>
      </x:c>
      <x:c r="K183" s="23" t="str">
        <x:v>中证500</x:v>
      </x:c>
    </x:row>
    <x:row r="184">
      <x:c r="A184" s="23" t="n">
        <x:v>5</x:v>
      </x:c>
      <x:c r="B184" s="23" t="str">
        <x:v>周四</x:v>
      </x:c>
      <x:c r="C184" s="23" t="str">
        <x:v>8月7日</x:v>
      </x:c>
      <x:c r="D184" s="24" t="n">
        <x:v>6356.332</x:v>
      </x:c>
      <x:c r="E184" s="24" t="n">
        <x:v>6366.214</x:v>
      </x:c>
      <x:c r="F184" s="24" t="n">
        <x:v>6299.493</x:v>
      </x:c>
      <x:c r="G184" s="24" t="n">
        <x:v>6337.543</x:v>
      </x:c>
      <x:c r="H184" s="24" t="n">
        <x:v>-19.8</x:v>
      </x:c>
      <x:c r="I184" s="25" t="n">
        <x:v>-0.0031198401479102245</x:v>
      </x:c>
      <x:c r="J184" s="24" t="n">
        <x:f>ROUND(E184-F184,1)</x:f>
        <x:v>66.7</x:v>
      </x:c>
      <x:c r="K184" s="23" t="str">
        <x:v>中证500</x:v>
      </x:c>
    </x:row>
    <x:row r="185">
      <x:c r="A185" s="23" t="n">
        <x:v>6</x:v>
      </x:c>
      <x:c r="B185" s="23" t="str">
        <x:v>周五</x:v>
      </x:c>
      <x:c r="C185" s="23" t="str">
        <x:v>8月8日</x:v>
      </x:c>
      <x:c r="D185" s="24" t="n">
        <x:v>6324.175</x:v>
      </x:c>
      <x:c r="E185" s="24" t="n">
        <x:v>6351.335</x:v>
      </x:c>
      <x:c r="F185" s="24" t="n">
        <x:v>6308.148</x:v>
      </x:c>
      <x:c r="G185" s="24" t="n">
        <x:v>6323.5</x:v>
      </x:c>
      <x:c r="H185" s="24" t="n">
        <x:v>-14</x:v>
      </x:c>
      <x:c r="I185" s="25" t="n">
        <x:v>-0.002215842953649294</x:v>
      </x:c>
      <x:c r="J185" s="24" t="n">
        <x:f>ROUND(E185-F185,1)</x:f>
        <x:v>43.2</x:v>
      </x:c>
      <x:c r="K185" s="23" t="str">
        <x:v>中证500</x:v>
      </x:c>
    </x:row>
    <x:row r="186">
      <x:c r="A186" s="23" t="n">
        <x:v>7</x:v>
      </x:c>
      <x:c r="B186" s="23" t="str">
        <x:v>周一</x:v>
      </x:c>
      <x:c r="C186" s="23" t="str">
        <x:v>8月11日</x:v>
      </x:c>
      <x:c r="D186" s="24" t="n">
        <x:v>6335.427</x:v>
      </x:c>
      <x:c r="E186" s="24" t="n">
        <x:v>6404.833</x:v>
      </x:c>
      <x:c r="F186" s="24" t="n">
        <x:v>6335.427</x:v>
      </x:c>
      <x:c r="G186" s="24" t="n">
        <x:v>6391.76</x:v>
      </x:c>
      <x:c r="H186" s="24" t="n">
        <x:v>68.3</x:v>
      </x:c>
      <x:c r="I186" s="25" t="n">
        <x:v>0.010794654858859776</x:v>
      </x:c>
      <x:c r="J186" s="24" t="n">
        <x:f>ROUND(E186-F186,1)</x:f>
        <x:v>69.4</x:v>
      </x:c>
      <x:c r="K186" s="23" t="str">
        <x:v>中证500</x:v>
      </x:c>
    </x:row>
    <x:row r="187">
      <x:c r="A187" s="23" t="n">
        <x:v>8</x:v>
      </x:c>
      <x:c r="B187" s="23" t="str">
        <x:v>周二</x:v>
      </x:c>
      <x:c r="C187" s="23" t="str">
        <x:v>8月12日</x:v>
      </x:c>
      <x:c r="D187" s="24" t="n">
        <x:v>6392.402</x:v>
      </x:c>
      <x:c r="E187" s="24" t="n">
        <x:v>6418.16</x:v>
      </x:c>
      <x:c r="F187" s="24" t="n">
        <x:v>6360.109</x:v>
      </x:c>
      <x:c r="G187" s="24" t="n">
        <x:v>6418.16</x:v>
      </x:c>
      <x:c r="H187" s="24" t="n">
        <x:v>26.4</x:v>
      </x:c>
      <x:c r="I187" s="25" t="n">
        <x:v>0.004130317784146964</x:v>
      </x:c>
      <x:c r="J187" s="24" t="n">
        <x:f>ROUND(E187-F187,1)</x:f>
        <x:v>58.1</x:v>
      </x:c>
      <x:c r="K187" s="23" t="str">
        <x:v>中证500</x:v>
      </x:c>
    </x:row>
    <x:row r="188">
      <x:c r="A188" s="23" t="n">
        <x:v>9</x:v>
      </x:c>
      <x:c r="B188" s="23" t="str">
        <x:v>周三</x:v>
      </x:c>
      <x:c r="C188" s="23" t="str">
        <x:v>8月13日</x:v>
      </x:c>
      <x:c r="D188" s="24" t="n">
        <x:v>6422.789</x:v>
      </x:c>
      <x:c r="E188" s="24" t="n">
        <x:v>6514.456</x:v>
      </x:c>
      <x:c r="F188" s="24" t="n">
        <x:v>6422.215</x:v>
      </x:c>
      <x:c r="G188" s="24" t="n">
        <x:v>6508.098</x:v>
      </x:c>
      <x:c r="H188" s="24" t="n">
        <x:v>89.9</x:v>
      </x:c>
      <x:c r="I188" s="25" t="n">
        <x:v>0.014013050469293464</x:v>
      </x:c>
      <x:c r="J188" s="24" t="n">
        <x:f>ROUND(E188-F188,1)</x:f>
        <x:v>92.2</x:v>
      </x:c>
      <x:c r="K188" s="23" t="str">
        <x:v>中证500</x:v>
      </x:c>
    </x:row>
    <x:row r="189">
      <x:c r="A189" s="23" t="n">
        <x:v>10</x:v>
      </x:c>
      <x:c r="B189" s="23" t="str">
        <x:v>周四</x:v>
      </x:c>
      <x:c r="C189" s="23" t="str">
        <x:v>8月14日</x:v>
      </x:c>
      <x:c r="D189" s="24" t="n">
        <x:v>6509.209</x:v>
      </x:c>
      <x:c r="E189" s="24" t="n">
        <x:v>6519.794</x:v>
      </x:c>
      <x:c r="F189" s="24" t="n">
        <x:v>6411.921</x:v>
      </x:c>
      <x:c r="G189" s="24" t="n">
        <x:v>6429.846</x:v>
      </x:c>
      <x:c r="H189" s="24" t="n">
        <x:v>-78.3</x:v>
      </x:c>
      <x:c r="I189" s="25" t="n">
        <x:v>-0.012023789438942112</x:v>
      </x:c>
      <x:c r="J189" s="24" t="n">
        <x:f>ROUND(E189-F189,1)</x:f>
        <x:v>107.9</x:v>
      </x:c>
      <x:c r="K189" s="23" t="str">
        <x:v>中证500</x:v>
      </x:c>
    </x:row>
    <x:row r="190">
      <x:c r="A190" s="33" t="n">
        <x:v>11</x:v>
      </x:c>
      <x:c r="B190" s="33" t="str">
        <x:v>周五</x:v>
      </x:c>
      <x:c r="C190" s="33" t="str">
        <x:v>8月15日</x:v>
      </x:c>
      <x:c r="D190" s="34" t="n">
        <x:v>6417.389</x:v>
      </x:c>
      <x:c r="E190" s="34" t="n">
        <x:v>6570.499</x:v>
      </x:c>
      <x:c r="F190" s="34" t="n">
        <x:v>6417.389</x:v>
      </x:c>
      <x:c r="G190" s="34" t="n">
        <x:v>6568.57</x:v>
      </x:c>
      <x:c r="H190" s="34" t="n">
        <x:v>138.7</x:v>
      </x:c>
      <x:c r="I190" s="35" t="n">
        <x:v>0.0215750112833184</x:v>
      </x:c>
      <x:c r="J190" s="34" t="n">
        <x:f>ROUND(E190-F190,1)</x:f>
        <x:v>153.1</x:v>
      </x:c>
      <x:c r="K190" s="33" t="str">
        <x:v>中证500</x:v>
      </x:c>
    </x:row>
    <x:row r="191">
      <x:c r="A191" s="23" t="n">
        <x:v>12</x:v>
      </x:c>
      <x:c r="B191" s="23" t="str">
        <x:v>周一</x:v>
      </x:c>
      <x:c r="C191" s="23" t="str">
        <x:v>8月18日</x:v>
      </x:c>
      <x:c r="D191" s="24" t="n">
        <x:v>6612.988</x:v>
      </x:c>
      <x:c r="E191" s="24" t="n">
        <x:v>6709.781</x:v>
      </x:c>
      <x:c r="F191" s="24" t="n">
        <x:v>6580.437</x:v>
      </x:c>
      <x:c r="G191" s="24" t="n">
        <x:v>6668.173</x:v>
      </x:c>
      <x:c r="H191" s="24" t="n">
        <x:v>99.6</x:v>
      </x:c>
      <x:c r="I191" s="25" t="n">
        <x:v>0.015163574415740344</x:v>
      </x:c>
      <x:c r="J191" s="24" t="n">
        <x:f>ROUND(E191-F191,1)</x:f>
        <x:v>129.3</x:v>
      </x:c>
      <x:c r="K191" s="23" t="str">
        <x:v>中证500</x:v>
      </x:c>
    </x:row>
    <x:row r="192">
      <x:c r="A192" s="23" t="n">
        <x:v>13</x:v>
      </x:c>
      <x:c r="B192" s="23" t="str">
        <x:v>周二</x:v>
      </x:c>
      <x:c r="C192" s="23" t="str">
        <x:v>8月19日</x:v>
      </x:c>
      <x:c r="D192" s="24" t="n">
        <x:v>6663.157</x:v>
      </x:c>
      <x:c r="E192" s="24" t="n">
        <x:v>6707.114</x:v>
      </x:c>
      <x:c r="F192" s="24" t="n">
        <x:v>6631.119</x:v>
      </x:c>
      <x:c r="G192" s="24" t="n">
        <x:v>6655.311</x:v>
      </x:c>
      <x:c r="H192" s="24" t="n">
        <x:v>-12.9</x:v>
      </x:c>
      <x:c r="I192" s="25" t="n">
        <x:v>-0.001928864173140088</x:v>
      </x:c>
      <x:c r="J192" s="24" t="n">
        <x:f>ROUND(E192-F192,1)</x:f>
        <x:v>76</x:v>
      </x:c>
      <x:c r="K192" s="23" t="str">
        <x:v>中证500</x:v>
      </x:c>
    </x:row>
    <x:row r="193">
      <x:c r="A193" s="23" t="n">
        <x:v>14</x:v>
      </x:c>
      <x:c r="B193" s="23" t="str">
        <x:v>周三</x:v>
      </x:c>
      <x:c r="C193" s="23" t="str">
        <x:v>8月20日</x:v>
      </x:c>
      <x:c r="D193" s="24" t="n">
        <x:v>6623.614</x:v>
      </x:c>
      <x:c r="E193" s="24" t="n">
        <x:v>6728.069</x:v>
      </x:c>
      <x:c r="F193" s="24" t="n">
        <x:v>6598.551</x:v>
      </x:c>
      <x:c r="G193" s="24" t="n">
        <x:v>6728.069</x:v>
      </x:c>
      <x:c r="H193" s="24" t="n">
        <x:v>72.8</x:v>
      </x:c>
      <x:c r="I193" s="25" t="n">
        <x:v>0.010932321569946168</x:v>
      </x:c>
      <x:c r="J193" s="24" t="n">
        <x:f>ROUND(E193-F193,1)</x:f>
        <x:v>129.5</x:v>
      </x:c>
      <x:c r="K193" s="23" t="str">
        <x:v>中证500</x:v>
      </x:c>
    </x:row>
    <x:row r="194">
      <x:c r="A194" s="23" t="n">
        <x:v>15</x:v>
      </x:c>
      <x:c r="B194" s="23" t="str">
        <x:v>周四</x:v>
      </x:c>
      <x:c r="C194" s="23" t="str">
        <x:v>8月21日</x:v>
      </x:c>
      <x:c r="D194" s="24" t="n">
        <x:v>6739.69</x:v>
      </x:c>
      <x:c r="E194" s="24" t="n">
        <x:v>6767.323</x:v>
      </x:c>
      <x:c r="F194" s="24" t="n">
        <x:v>6673.061</x:v>
      </x:c>
      <x:c r="G194" s="24" t="n">
        <x:v>6704.166</x:v>
      </x:c>
      <x:c r="H194" s="24" t="n">
        <x:v>-23.9</x:v>
      </x:c>
      <x:c r="I194" s="25" t="n">
        <x:v>-0.0035527281304635894</x:v>
      </x:c>
      <x:c r="J194" s="24" t="n">
        <x:f>ROUND(E194-F194,1)</x:f>
        <x:v>94.3</x:v>
      </x:c>
      <x:c r="K194" s="23" t="str">
        <x:v>中证500</x:v>
      </x:c>
    </x:row>
    <x:row r="195">
      <x:c r="A195" s="23" t="n">
        <x:v>16</x:v>
      </x:c>
      <x:c r="B195" s="23" t="str">
        <x:v>周五</x:v>
      </x:c>
      <x:c r="C195" s="23" t="str">
        <x:v>8月22日</x:v>
      </x:c>
      <x:c r="D195" s="24" t="n">
        <x:v>6704.03</x:v>
      </x:c>
      <x:c r="E195" s="24" t="n">
        <x:v>6823.363</x:v>
      </x:c>
      <x:c r="F195" s="24" t="n">
        <x:v>6704.03</x:v>
      </x:c>
      <x:c r="G195" s="24" t="n">
        <x:v>6822.847</x:v>
      </x:c>
      <x:c r="H195" s="24" t="n">
        <x:v>118.7</x:v>
      </x:c>
      <x:c r="I195" s="25" t="n">
        <x:v>0.01770257478708004</x:v>
      </x:c>
      <x:c r="J195" s="24" t="n">
        <x:f>ROUND(E195-F195,1)</x:f>
        <x:v>119.3</x:v>
      </x:c>
      <x:c r="K195" s="23" t="str">
        <x:v>中证500</x:v>
      </x:c>
    </x:row>
    <x:row r="196">
      <x:c r="A196" s="23" t="n">
        <x:v>17</x:v>
      </x:c>
      <x:c r="B196" s="23" t="str">
        <x:v>周一</x:v>
      </x:c>
      <x:c r="C196" s="23" t="str">
        <x:v>8月25日</x:v>
      </x:c>
      <x:c r="D196" s="24" t="n">
        <x:v>6886.268</x:v>
      </x:c>
      <x:c r="E196" s="24" t="n">
        <x:v>6967.796</x:v>
      </x:c>
      <x:c r="F196" s="24" t="n">
        <x:v>6863.932</x:v>
      </x:c>
      <x:c r="G196" s="24" t="n">
        <x:v>6951.896</x:v>
      </x:c>
      <x:c r="H196" s="24" t="n">
        <x:v>129</x:v>
      </x:c>
      <x:c r="I196" s="25" t="n">
        <x:v>0.018914245035833277</x:v>
      </x:c>
      <x:c r="J196" s="24" t="n">
        <x:f>ROUND(E196-F196,1)</x:f>
        <x:v>103.9</x:v>
      </x:c>
      <x:c r="K196" s="23" t="str">
        <x:v>中证500</x:v>
      </x:c>
    </x:row>
    <x:row r="197">
      <x:c r="A197" s="23" t="n">
        <x:v>18</x:v>
      </x:c>
      <x:c r="B197" s="23" t="str">
        <x:v>周二</x:v>
      </x:c>
      <x:c r="C197" s="23" t="str">
        <x:v>8月26日</x:v>
      </x:c>
      <x:c r="D197" s="24" t="n">
        <x:v>6928.286</x:v>
      </x:c>
      <x:c r="E197" s="24" t="n">
        <x:v>7008.963</x:v>
      </x:c>
      <x:c r="F197" s="24" t="n">
        <x:v>6910.406</x:v>
      </x:c>
      <x:c r="G197" s="24" t="n">
        <x:v>6964.065</x:v>
      </x:c>
      <x:c r="H197" s="24" t="n">
        <x:v>12.2</x:v>
      </x:c>
      <x:c r="I197" s="25" t="n">
        <x:v>0.0017504577168587776</x:v>
      </x:c>
      <x:c r="J197" s="24" t="n">
        <x:f>ROUND(E197-F197,1)</x:f>
        <x:v>98.6</x:v>
      </x:c>
      <x:c r="K197" s="23" t="str">
        <x:v>中证500</x:v>
      </x:c>
    </x:row>
    <x:row r="198">
      <x:c r="A198" s="23" t="n">
        <x:v>19</x:v>
      </x:c>
      <x:c r="B198" s="23" t="str">
        <x:v>周三</x:v>
      </x:c>
      <x:c r="C198" s="23" t="str">
        <x:v>8月27日</x:v>
      </x:c>
      <x:c r="D198" s="24" t="n">
        <x:v>6964.77</x:v>
      </x:c>
      <x:c r="E198" s="24" t="n">
        <x:v>7074.63</x:v>
      </x:c>
      <x:c r="F198" s="24" t="n">
        <x:v>6862.562</x:v>
      </x:c>
      <x:c r="G198" s="24" t="n">
        <x:v>6862.562</x:v>
      </x:c>
      <x:c r="H198" s="24" t="n">
        <x:v>-101.5</x:v>
      </x:c>
      <x:c r="I198" s="25" t="n">
        <x:v>-0.014575251666950173</x:v>
      </x:c>
      <x:c r="J198" s="29" t="n">
        <x:f>ROUND(E198-F198,1)</x:f>
        <x:v>212.1</x:v>
      </x:c>
      <x:c r="K198" s="23" t="str">
        <x:v>中证500</x:v>
      </x:c>
    </x:row>
    <x:row r="199">
      <x:c r="A199" s="23" t="n">
        <x:v>20</x:v>
      </x:c>
      <x:c r="B199" s="23" t="str">
        <x:v>周四</x:v>
      </x:c>
      <x:c r="C199" s="23" t="str">
        <x:v>8月28日</x:v>
      </x:c>
      <x:c r="D199" s="24" t="n">
        <x:v>6858.503</x:v>
      </x:c>
      <x:c r="E199" s="24" t="n">
        <x:v>7011.16</x:v>
      </x:c>
      <x:c r="F199" s="24" t="n">
        <x:v>6798.934</x:v>
      </x:c>
      <x:c r="G199" s="24" t="n">
        <x:v>7011.16</x:v>
      </x:c>
      <x:c r="H199" s="24" t="n">
        <x:v>148.6</x:v>
      </x:c>
      <x:c r="I199" s="25" t="n">
        <x:v>0.02165342914206092</x:v>
      </x:c>
      <x:c r="J199" s="29" t="n">
        <x:f>ROUND(E199-F199,1)</x:f>
        <x:v>212.2</x:v>
      </x:c>
      <x:c r="K199" s="23" t="str">
        <x:v>中证500</x:v>
      </x:c>
    </x:row>
    <x:row r="200">
      <x:c r="A200" s="23" t="n">
        <x:v>21</x:v>
      </x:c>
      <x:c r="B200" s="23" t="str">
        <x:v>周五</x:v>
      </x:c>
      <x:c r="C200" s="23" t="str">
        <x:v>8月29日</x:v>
      </x:c>
      <x:c r="D200" s="24" t="n">
        <x:v>7030.274</x:v>
      </x:c>
      <x:c r="E200" s="24" t="n">
        <x:v>7078.923</x:v>
      </x:c>
      <x:c r="F200" s="24" t="n">
        <x:v>6990.753</x:v>
      </x:c>
      <x:c r="G200" s="24" t="n">
        <x:v>7043.942</x:v>
      </x:c>
      <x:c r="H200" s="24" t="n">
        <x:v>32.8</x:v>
      </x:c>
      <x:c r="I200" s="25" t="n">
        <x:v>0.004675688473804618</x:v>
      </x:c>
      <x:c r="J200" s="24" t="n">
        <x:f>ROUND(E200-F200,1)</x:f>
        <x:v>88.2</x:v>
      </x:c>
      <x:c r="K200" s="23" t="str">
        <x:v>中证500</x:v>
      </x:c>
    </x:row>
    <x:row r="201">
      <x:c r="A201" s="38" t="str">
        <x:v>合计</x:v>
      </x:c>
      <x:c r="B201" s="37" t="n">
        <x:v>21</x:v>
      </x:c>
      <x:c r="C201" s="37"/>
      <x:c r="D201" s="37"/>
      <x:c r="E201" s="37"/>
      <x:c r="F201" s="37"/>
      <x:c r="G201" s="37"/>
      <x:c r="H201" s="37"/>
      <x:c r="I201" s="37"/>
      <x:c r="J201" s="39" t="n">
        <x:f>ROUND(SUM(J180:J200),1)</x:f>
        <x:v>2099.6</x:v>
      </x:c>
      <x:c r="K201" s="37"/>
    </x:row>
    <x:row r="202">
      <x:c r="A202" s="38" t="str">
        <x:v>均值</x:v>
      </x:c>
      <x:c r="B202" s="37"/>
      <x:c r="C202" s="37"/>
      <x:c r="D202" s="37"/>
      <x:c r="E202" s="37"/>
      <x:c r="F202" s="37"/>
      <x:c r="G202" s="37"/>
      <x:c r="H202" s="37"/>
      <x:c r="I202" s="37"/>
      <x:c r="J202" s="41" t="n">
        <x:f>ROUND(IFERROR(AVERAGE(J180:J200),0),1)</x:f>
        <x:v>100</x:v>
      </x:c>
      <x:c r="K202" s="37"/>
    </x:row>
    <x:row r="204">
      <x:c r="A204" s="17" t="str">
        <x:v>9月</x:v>
      </x:c>
      <x:c r="B204" s="17"/>
      <x:c r="C204" s="17"/>
      <x:c r="D204" s="17"/>
      <x:c r="E204" s="17"/>
      <x:c r="F204" s="17"/>
      <x:c r="G204" s="17"/>
      <x:c r="H204" s="17"/>
      <x:c r="I204" s="17"/>
      <x:c r="J204" s="17"/>
      <x:c r="K204" s="17"/>
    </x:row>
    <x:row r="205">
      <x:c r="A205" s="20" t="str">
        <x:v>序号</x:v>
      </x:c>
      <x:c r="B205" s="20" t="str">
        <x:v>星期</x:v>
      </x:c>
      <x:c r="C205" s="20" t="str">
        <x:v>日期</x:v>
      </x:c>
      <x:c r="D205" s="20" t="str">
        <x:v>开盘</x:v>
      </x:c>
      <x:c r="E205" s="20" t="str">
        <x:v>高点</x:v>
      </x:c>
      <x:c r="F205" s="20" t="str">
        <x:v>低点</x:v>
      </x:c>
      <x:c r="G205" s="20" t="str">
        <x:v>收盘</x:v>
      </x:c>
      <x:c r="H205" s="20" t="str">
        <x:v>涨跌点数</x:v>
      </x:c>
      <x:c r="I205" s="20" t="str">
        <x:v>涨幅</x:v>
      </x:c>
      <x:c r="J205" s="20" t="str">
        <x:v>振幅</x:v>
      </x:c>
      <x:c r="K205" s="20" t="str">
        <x:v>标的</x:v>
      </x:c>
    </x:row>
    <x:row r="206">
      <x:c r="A206" s="23" t="n">
        <x:v>1</x:v>
      </x:c>
      <x:c r="B206" s="23" t="str">
        <x:v>周一</x:v>
      </x:c>
      <x:c r="C206" s="23" t="str">
        <x:v>9月1日</x:v>
      </x:c>
      <x:c r="D206" s="24" t="n">
        <x:v>7087.734</x:v>
      </x:c>
      <x:c r="E206" s="24" t="n">
        <x:v>7110.687</x:v>
      </x:c>
      <x:c r="F206" s="24" t="n">
        <x:v>7038.344</x:v>
      </x:c>
      <x:c r="G206" s="24" t="n">
        <x:v>7110.288</x:v>
      </x:c>
      <x:c r="H206" s="24" t="n">
        <x:v>66.3</x:v>
      </x:c>
      <x:c r="I206" s="25" t="n">
        <x:v>0.00941887369316774</x:v>
      </x:c>
      <x:c r="J206" s="24" t="n">
        <x:f>ROUND(E206-F206,1)</x:f>
        <x:v>72.3</x:v>
      </x:c>
      <x:c r="K206" s="23" t="str">
        <x:v>中证500</x:v>
      </x:c>
    </x:row>
    <x:row r="207">
      <x:c r="A207" s="23" t="n">
        <x:v>2</x:v>
      </x:c>
      <x:c r="B207" s="23" t="str">
        <x:v>周二</x:v>
      </x:c>
      <x:c r="C207" s="23" t="str">
        <x:v>9月2日</x:v>
      </x:c>
      <x:c r="D207" s="24" t="n">
        <x:v>7108.945</x:v>
      </x:c>
      <x:c r="E207" s="24" t="n">
        <x:v>7108.945</x:v>
      </x:c>
      <x:c r="F207" s="24" t="n">
        <x:v>6909.723</x:v>
      </x:c>
      <x:c r="G207" s="24" t="n">
        <x:v>6961.689</x:v>
      </x:c>
      <x:c r="H207" s="24" t="n">
        <x:v>-148.6</x:v>
      </x:c>
      <x:c r="I207" s="25" t="n">
        <x:v>-0.020899153452011987</x:v>
      </x:c>
      <x:c r="J207" s="29" t="n">
        <x:f>ROUND(E207-F207,1)</x:f>
        <x:v>199.2</x:v>
      </x:c>
      <x:c r="K207" s="23" t="str">
        <x:v>中证500</x:v>
      </x:c>
    </x:row>
    <x:row r="208">
      <x:c r="A208" s="23" t="n">
        <x:v>3</x:v>
      </x:c>
      <x:c r="B208" s="23" t="str">
        <x:v>周三</x:v>
      </x:c>
      <x:c r="C208" s="23" t="str">
        <x:v>9月3日</x:v>
      </x:c>
      <x:c r="D208" s="24" t="n">
        <x:v>6988.021</x:v>
      </x:c>
      <x:c r="E208" s="24" t="n">
        <x:v>7003.268</x:v>
      </x:c>
      <x:c r="F208" s="24" t="n">
        <x:v>6846.181</x:v>
      </x:c>
      <x:c r="G208" s="24" t="n">
        <x:v>6868.462</x:v>
      </x:c>
      <x:c r="H208" s="24" t="n">
        <x:v>-93.2</x:v>
      </x:c>
      <x:c r="I208" s="25" t="n">
        <x:v>-0.013391434176390216</x:v>
      </x:c>
      <x:c r="J208" s="24" t="n">
        <x:f>ROUND(E208-F208,1)</x:f>
        <x:v>157.1</x:v>
      </x:c>
      <x:c r="K208" s="23" t="str">
        <x:v>中证500</x:v>
      </x:c>
    </x:row>
    <x:row r="209">
      <x:c r="A209" s="23" t="n">
        <x:v>4</x:v>
      </x:c>
      <x:c r="B209" s="23" t="str">
        <x:v>周四</x:v>
      </x:c>
      <x:c r="C209" s="23" t="str">
        <x:v>9月4日</x:v>
      </x:c>
      <x:c r="D209" s="24" t="n">
        <x:v>6884.358</x:v>
      </x:c>
      <x:c r="E209" s="24" t="n">
        <x:v>6906.692</x:v>
      </x:c>
      <x:c r="F209" s="24" t="n">
        <x:v>6607.985</x:v>
      </x:c>
      <x:c r="G209" s="24" t="n">
        <x:v>6698.447</x:v>
      </x:c>
      <x:c r="H209" s="27" t="n">
        <x:v>-170</x:v>
      </x:c>
      <x:c r="I209" s="25" t="n">
        <x:v>-0.024752994192877575</x:v>
      </x:c>
      <x:c r="J209" s="29" t="n">
        <x:f>ROUND(E209-F209,1)</x:f>
        <x:v>298.7</x:v>
      </x:c>
      <x:c r="K209" s="23" t="str">
        <x:v>中证500</x:v>
      </x:c>
    </x:row>
    <x:row r="210">
      <x:c r="A210" s="23" t="n">
        <x:v>5</x:v>
      </x:c>
      <x:c r="B210" s="23" t="str">
        <x:v>周五</x:v>
      </x:c>
      <x:c r="C210" s="23" t="str">
        <x:v>9月5日</x:v>
      </x:c>
      <x:c r="D210" s="24" t="n">
        <x:v>6709.145</x:v>
      </x:c>
      <x:c r="E210" s="24" t="n">
        <x:v>6919.336</x:v>
      </x:c>
      <x:c r="F210" s="24" t="n">
        <x:v>6678.6</x:v>
      </x:c>
      <x:c r="G210" s="24" t="n">
        <x:v>6913.953</x:v>
      </x:c>
      <x:c r="H210" s="27" t="n">
        <x:v>215.5</x:v>
      </x:c>
      <x:c r="I210" s="25" t="n">
        <x:v>0.03217253193165526</x:v>
      </x:c>
      <x:c r="J210" s="29" t="n">
        <x:f>ROUND(E210-F210,1)</x:f>
        <x:v>240.7</x:v>
      </x:c>
      <x:c r="K210" s="23" t="str">
        <x:v>中证500</x:v>
      </x:c>
    </x:row>
    <x:row r="211">
      <x:c r="A211" s="23" t="n">
        <x:v>6</x:v>
      </x:c>
      <x:c r="B211" s="23" t="str">
        <x:v>周一</x:v>
      </x:c>
      <x:c r="C211" s="23" t="str">
        <x:v>9月8日</x:v>
      </x:c>
      <x:c r="D211" s="24" t="n">
        <x:v>6927.407</x:v>
      </x:c>
      <x:c r="E211" s="24" t="n">
        <x:v>6995.718</x:v>
      </x:c>
      <x:c r="F211" s="24" t="n">
        <x:v>6896.66</x:v>
      </x:c>
      <x:c r="G211" s="24" t="n">
        <x:v>6992.117</x:v>
      </x:c>
      <x:c r="H211" s="24" t="n">
        <x:v>78.2</x:v>
      </x:c>
      <x:c r="I211" s="25" t="n">
        <x:v>0.011305254750791693</x:v>
      </x:c>
      <x:c r="J211" s="24" t="n">
        <x:f>ROUND(E211-F211,1)</x:f>
        <x:v>99.1</x:v>
      </x:c>
      <x:c r="K211" s="23" t="str">
        <x:v>中证500</x:v>
      </x:c>
    </x:row>
    <x:row r="212">
      <x:c r="A212" s="23" t="n">
        <x:v>7</x:v>
      </x:c>
      <x:c r="B212" s="23" t="str">
        <x:v>周二</x:v>
      </x:c>
      <x:c r="C212" s="23" t="str">
        <x:v>9月9日</x:v>
      </x:c>
      <x:c r="D212" s="24" t="n">
        <x:v>6959.937</x:v>
      </x:c>
      <x:c r="E212" s="24" t="n">
        <x:v>6999.731</x:v>
      </x:c>
      <x:c r="F212" s="24" t="n">
        <x:v>6895.509</x:v>
      </x:c>
      <x:c r="G212" s="24" t="n">
        <x:v>6928.965</x:v>
      </x:c>
      <x:c r="H212" s="24" t="n">
        <x:v>-63.2</x:v>
      </x:c>
      <x:c r="I212" s="25" t="n">
        <x:v>-0.009031885479032997</x:v>
      </x:c>
      <x:c r="J212" s="24" t="n">
        <x:f>ROUND(E212-F212,1)</x:f>
        <x:v>104.2</x:v>
      </x:c>
      <x:c r="K212" s="23" t="str">
        <x:v>中证500</x:v>
      </x:c>
    </x:row>
    <x:row r="213">
      <x:c r="A213" s="23" t="n">
        <x:v>8</x:v>
      </x:c>
      <x:c r="B213" s="23" t="str">
        <x:v>周三</x:v>
      </x:c>
      <x:c r="C213" s="23" t="str">
        <x:v>9月10日</x:v>
      </x:c>
      <x:c r="D213" s="24" t="n">
        <x:v>6911.112</x:v>
      </x:c>
      <x:c r="E213" s="24" t="n">
        <x:v>6977.767</x:v>
      </x:c>
      <x:c r="F213" s="24" t="n">
        <x:v>6870.404</x:v>
      </x:c>
      <x:c r="G213" s="24" t="n">
        <x:v>6932.109</x:v>
      </x:c>
      <x:c r="H213" s="24" t="n">
        <x:v>3.1</x:v>
      </x:c>
      <x:c r="I213" s="25" t="n">
        <x:v>0.00045374742115167344</x:v>
      </x:c>
      <x:c r="J213" s="24" t="n">
        <x:f>ROUND(E213-F213,1)</x:f>
        <x:v>107.4</x:v>
      </x:c>
      <x:c r="K213" s="23" t="str">
        <x:v>中证500</x:v>
      </x:c>
    </x:row>
    <x:row r="214">
      <x:c r="A214" s="23" t="n">
        <x:v>9</x:v>
      </x:c>
      <x:c r="B214" s="23" t="str">
        <x:v>周四</x:v>
      </x:c>
      <x:c r="C214" s="23" t="str">
        <x:v>9月11日</x:v>
      </x:c>
      <x:c r="D214" s="24" t="n">
        <x:v>6924.304</x:v>
      </x:c>
      <x:c r="E214" s="24" t="n">
        <x:v>7123.052</x:v>
      </x:c>
      <x:c r="F214" s="24" t="n">
        <x:v>6889.586</x:v>
      </x:c>
      <x:c r="G214" s="24" t="n">
        <x:v>7122.705</x:v>
      </x:c>
      <x:c r="H214" s="27" t="n">
        <x:v>190.6</x:v>
      </x:c>
      <x:c r="I214" s="25" t="n">
        <x:v>0.027494662879651743</x:v>
      </x:c>
      <x:c r="J214" s="29" t="n">
        <x:f>ROUND(E214-F214,1)</x:f>
        <x:v>233.5</x:v>
      </x:c>
      <x:c r="K214" s="23" t="str">
        <x:v>中证500</x:v>
      </x:c>
    </x:row>
    <x:row r="215">
      <x:c r="A215" s="23" t="n">
        <x:v>10</x:v>
      </x:c>
      <x:c r="B215" s="23" t="str">
        <x:v>周五</x:v>
      </x:c>
      <x:c r="C215" s="23" t="str">
        <x:v>9月12日</x:v>
      </x:c>
      <x:c r="D215" s="24" t="n">
        <x:v>7115.61</x:v>
      </x:c>
      <x:c r="E215" s="24" t="n">
        <x:v>7200.156</x:v>
      </x:c>
      <x:c r="F215" s="24" t="n">
        <x:v>7112.422</x:v>
      </x:c>
      <x:c r="G215" s="24" t="n">
        <x:v>7147.749</x:v>
      </x:c>
      <x:c r="H215" s="24" t="n">
        <x:v>25</x:v>
      </x:c>
      <x:c r="I215" s="25" t="n">
        <x:v>0.003516079916267678</x:v>
      </x:c>
      <x:c r="J215" s="24" t="n">
        <x:f>ROUND(E215-F215,1)</x:f>
        <x:v>87.7</x:v>
      </x:c>
      <x:c r="K215" s="23" t="str">
        <x:v>中证500</x:v>
      </x:c>
    </x:row>
    <x:row r="216">
      <x:c r="A216" s="23" t="n">
        <x:v>11</x:v>
      </x:c>
      <x:c r="B216" s="23" t="str">
        <x:v>周一</x:v>
      </x:c>
      <x:c r="C216" s="23" t="str">
        <x:v>9月15日</x:v>
      </x:c>
      <x:c r="D216" s="24" t="n">
        <x:v>7170.412</x:v>
      </x:c>
      <x:c r="E216" s="24" t="n">
        <x:v>7174.891</x:v>
      </x:c>
      <x:c r="F216" s="24" t="n">
        <x:v>7126.829</x:v>
      </x:c>
      <x:c r="G216" s="24" t="n">
        <x:v>7137.363</x:v>
      </x:c>
      <x:c r="H216" s="24" t="n">
        <x:v>-10.4</x:v>
      </x:c>
      <x:c r="I216" s="25" t="n">
        <x:v>-0.0014530448676918217</x:v>
      </x:c>
      <x:c r="J216" s="24" t="n">
        <x:f>ROUND(E216-F216,1)</x:f>
        <x:v>48.1</x:v>
      </x:c>
      <x:c r="K216" s="23" t="str">
        <x:v>中证500</x:v>
      </x:c>
    </x:row>
    <x:row r="217">
      <x:c r="A217" s="23" t="n">
        <x:v>12</x:v>
      </x:c>
      <x:c r="B217" s="23" t="str">
        <x:v>周二</x:v>
      </x:c>
      <x:c r="C217" s="23" t="str">
        <x:v>9月16日</x:v>
      </x:c>
      <x:c r="D217" s="24" t="n">
        <x:v>7152.189</x:v>
      </x:c>
      <x:c r="E217" s="24" t="n">
        <x:v>7195.425</x:v>
      </x:c>
      <x:c r="F217" s="24" t="n">
        <x:v>7080.427</x:v>
      </x:c>
      <x:c r="G217" s="24" t="n">
        <x:v>7190.993</x:v>
      </x:c>
      <x:c r="H217" s="24" t="n">
        <x:v>53.6</x:v>
      </x:c>
      <x:c r="I217" s="25" t="n">
        <x:v>0.007513979602830956</x:v>
      </x:c>
      <x:c r="J217" s="24" t="n">
        <x:f>ROUND(E217-F217,1)</x:f>
        <x:v>115</x:v>
      </x:c>
      <x:c r="K217" s="23" t="str">
        <x:v>中证500</x:v>
      </x:c>
    </x:row>
    <x:row r="218">
      <x:c r="A218" s="23" t="n">
        <x:v>13</x:v>
      </x:c>
      <x:c r="B218" s="23" t="str">
        <x:v>周三</x:v>
      </x:c>
      <x:c r="C218" s="23" t="str">
        <x:v>9月17日</x:v>
      </x:c>
      <x:c r="D218" s="24" t="n">
        <x:v>7184.264</x:v>
      </x:c>
      <x:c r="E218" s="24" t="n">
        <x:v>7265.393</x:v>
      </x:c>
      <x:c r="F218" s="24" t="n">
        <x:v>7159.667</x:v>
      </x:c>
      <x:c r="G218" s="24" t="n">
        <x:v>7260.035</x:v>
      </x:c>
      <x:c r="H218" s="24" t="n">
        <x:v>69</x:v>
      </x:c>
      <x:c r="I218" s="25" t="n">
        <x:v>0.009601177472985833</x:v>
      </x:c>
      <x:c r="J218" s="24" t="n">
        <x:f>ROUND(E218-F218,1)</x:f>
        <x:v>105.7</x:v>
      </x:c>
      <x:c r="K218" s="23" t="str">
        <x:v>中证500</x:v>
      </x:c>
    </x:row>
    <x:row r="219">
      <x:c r="A219" s="23" t="n">
        <x:v>14</x:v>
      </x:c>
      <x:c r="B219" s="23" t="str">
        <x:v>周四</x:v>
      </x:c>
      <x:c r="C219" s="23" t="str">
        <x:v>9月18日</x:v>
      </x:c>
      <x:c r="D219" s="24" t="n">
        <x:v>7248.279</x:v>
      </x:c>
      <x:c r="E219" s="24" t="n">
        <x:v>7350.977</x:v>
      </x:c>
      <x:c r="F219" s="24" t="n">
        <x:v>7115.631</x:v>
      </x:c>
      <x:c r="G219" s="24" t="n">
        <x:v>7199.883</x:v>
      </x:c>
      <x:c r="H219" s="24" t="n">
        <x:v>-60.2</x:v>
      </x:c>
      <x:c r="I219" s="25" t="n">
        <x:v>-0.008285359505842638</x:v>
      </x:c>
      <x:c r="J219" s="29" t="n">
        <x:f>ROUND(E219-F219,1)</x:f>
        <x:v>235.3</x:v>
      </x:c>
      <x:c r="K219" s="23" t="str">
        <x:v>中证500</x:v>
      </x:c>
    </x:row>
    <x:row r="220">
      <x:c r="A220" s="33" t="n">
        <x:v>15</x:v>
      </x:c>
      <x:c r="B220" s="33" t="str">
        <x:v>周五</x:v>
      </x:c>
      <x:c r="C220" s="33" t="str">
        <x:v>9月19日</x:v>
      </x:c>
      <x:c r="D220" s="34" t="n">
        <x:v>7200.692</x:v>
      </x:c>
      <x:c r="E220" s="34" t="n">
        <x:v>7231.999</x:v>
      </x:c>
      <x:c r="F220" s="34" t="n">
        <x:v>7142.061</x:v>
      </x:c>
      <x:c r="G220" s="34" t="n">
        <x:v>7170.349</x:v>
      </x:c>
      <x:c r="H220" s="34" t="n">
        <x:v>-29.5</x:v>
      </x:c>
      <x:c r="I220" s="35" t="n">
        <x:v>-0.004102011102124825</x:v>
      </x:c>
      <x:c r="J220" s="34" t="n">
        <x:f>ROUND(E220-F220,1)</x:f>
        <x:v>89.9</x:v>
      </x:c>
      <x:c r="K220" s="33" t="str">
        <x:v>中证500</x:v>
      </x:c>
    </x:row>
    <x:row r="221">
      <x:c r="A221" s="23" t="n">
        <x:v>16</x:v>
      </x:c>
      <x:c r="B221" s="23" t="str">
        <x:v>周一</x:v>
      </x:c>
      <x:c r="C221" s="23" t="str">
        <x:v>9月22日</x:v>
      </x:c>
      <x:c r="D221" s="24" t="n">
        <x:v>7182.888</x:v>
      </x:c>
      <x:c r="E221" s="24" t="n">
        <x:v>7225.858</x:v>
      </x:c>
      <x:c r="F221" s="24" t="n">
        <x:v>7143.075</x:v>
      </x:c>
      <x:c r="G221" s="24" t="n">
        <x:v>7225.128</x:v>
      </x:c>
      <x:c r="H221" s="24" t="n">
        <x:v>54.8</x:v>
      </x:c>
      <x:c r="I221" s="25" t="n">
        <x:v>0.0076396560334788255</x:v>
      </x:c>
      <x:c r="J221" s="24" t="n">
        <x:f>ROUND(E221-F221,1)</x:f>
        <x:v>82.8</x:v>
      </x:c>
      <x:c r="K221" s="23" t="str">
        <x:v>中证500</x:v>
      </x:c>
    </x:row>
    <x:row r="222">
      <x:c r="A222" s="23" t="n">
        <x:v>17</x:v>
      </x:c>
      <x:c r="B222" s="23" t="str">
        <x:v>周二</x:v>
      </x:c>
      <x:c r="C222" s="23" t="str">
        <x:v>9月23日</x:v>
      </x:c>
      <x:c r="D222" s="24" t="n">
        <x:v>7240.847</x:v>
      </x:c>
      <x:c r="E222" s="24" t="n">
        <x:v>7250.816</x:v>
      </x:c>
      <x:c r="F222" s="24" t="n">
        <x:v>7045.561</x:v>
      </x:c>
      <x:c r="G222" s="24" t="n">
        <x:v>7180.714</x:v>
      </x:c>
      <x:c r="H222" s="24" t="n">
        <x:v>-44.4</x:v>
      </x:c>
      <x:c r="I222" s="25" t="n">
        <x:v>-0.0061471575313267746</x:v>
      </x:c>
      <x:c r="J222" s="29" t="n">
        <x:f>ROUND(E222-F222,1)</x:f>
        <x:v>205.3</x:v>
      </x:c>
      <x:c r="K222" s="23" t="str">
        <x:v>中证500</x:v>
      </x:c>
    </x:row>
    <x:row r="223">
      <x:c r="A223" s="23" t="n">
        <x:v>18</x:v>
      </x:c>
      <x:c r="B223" s="23" t="str">
        <x:v>周三</x:v>
      </x:c>
      <x:c r="C223" s="23" t="str">
        <x:v>9月24日</x:v>
      </x:c>
      <x:c r="D223" s="24" t="n">
        <x:v>7140.313</x:v>
      </x:c>
      <x:c r="E223" s="24" t="n">
        <x:v>7327.021</x:v>
      </x:c>
      <x:c r="F223" s="24" t="n">
        <x:v>7133.432</x:v>
      </x:c>
      <x:c r="G223" s="24" t="n">
        <x:v>7323.709</x:v>
      </x:c>
      <x:c r="H223" s="24" t="n">
        <x:v>143</x:v>
      </x:c>
      <x:c r="I223" s="25" t="n">
        <x:v>0.01991375787978744</x:v>
      </x:c>
      <x:c r="J223" s="29" t="n">
        <x:f>ROUND(E223-F223,1)</x:f>
        <x:v>193.6</x:v>
      </x:c>
      <x:c r="K223" s="23" t="str">
        <x:v>中证500</x:v>
      </x:c>
    </x:row>
    <x:row r="224">
      <x:c r="A224" s="23" t="n">
        <x:v>19</x:v>
      </x:c>
      <x:c r="B224" s="23" t="str">
        <x:v>周四</x:v>
      </x:c>
      <x:c r="C224" s="23" t="str">
        <x:v>9月25日</x:v>
      </x:c>
      <x:c r="D224" s="24" t="n">
        <x:v>7325.66</x:v>
      </x:c>
      <x:c r="E224" s="24" t="n">
        <x:v>7379.611</x:v>
      </x:c>
      <x:c r="F224" s="24" t="n">
        <x:v>7312.351</x:v>
      </x:c>
      <x:c r="G224" s="24" t="n">
        <x:v>7341.324</x:v>
      </x:c>
      <x:c r="H224" s="24" t="n">
        <x:v>17.6</x:v>
      </x:c>
      <x:c r="I224" s="25" t="n">
        <x:v>0.0024052020635991767</x:v>
      </x:c>
      <x:c r="J224" s="24" t="n">
        <x:f>ROUND(E224-F224,1)</x:f>
        <x:v>67.3</x:v>
      </x:c>
      <x:c r="K224" s="23" t="str">
        <x:v>中证500</x:v>
      </x:c>
    </x:row>
    <x:row r="225">
      <x:c r="A225" s="23" t="n">
        <x:v>20</x:v>
      </x:c>
      <x:c r="B225" s="23" t="str">
        <x:v>周五</x:v>
      </x:c>
      <x:c r="C225" s="23" t="str">
        <x:v>9月26日</x:v>
      </x:c>
      <x:c r="D225" s="24" t="n">
        <x:v>7311.843</x:v>
      </x:c>
      <x:c r="E225" s="24" t="n">
        <x:v>7351.793</x:v>
      </x:c>
      <x:c r="F225" s="24" t="n">
        <x:v>7237.046</x:v>
      </x:c>
      <x:c r="G225" s="24" t="n">
        <x:v>7240.911</x:v>
      </x:c>
      <x:c r="H225" s="24" t="n">
        <x:v>-100.4</x:v>
      </x:c>
      <x:c r="I225" s="25" t="n">
        <x:v>-0.013677778013884034</x:v>
      </x:c>
      <x:c r="J225" s="24" t="n">
        <x:f>ROUND(E225-F225,1)</x:f>
        <x:v>114.7</x:v>
      </x:c>
      <x:c r="K225" s="23" t="str">
        <x:v>中证500</x:v>
      </x:c>
    </x:row>
    <x:row r="226">
      <x:c r="A226" s="23" t="n">
        <x:v>21</x:v>
      </x:c>
      <x:c r="B226" s="23" t="str">
        <x:v>周一</x:v>
      </x:c>
      <x:c r="C226" s="23" t="str">
        <x:v>9月29日</x:v>
      </x:c>
      <x:c r="D226" s="24" t="n">
        <x:v>7251.522</x:v>
      </x:c>
      <x:c r="E226" s="24" t="n">
        <x:v>7377.222</x:v>
      </x:c>
      <x:c r="F226" s="24" t="n">
        <x:v>7216.736</x:v>
      </x:c>
      <x:c r="G226" s="24" t="n">
        <x:v>7350.56</x:v>
      </x:c>
      <x:c r="H226" s="24" t="n">
        <x:v>109.6</x:v>
      </x:c>
      <x:c r="I226" s="25" t="n">
        <x:v>0.015142984080318111</x:v>
      </x:c>
      <x:c r="J226" s="29" t="n">
        <x:f>ROUND(E226-F226,1)</x:f>
        <x:v>160.5</x:v>
      </x:c>
      <x:c r="K226" s="23" t="str">
        <x:v>中证500</x:v>
      </x:c>
    </x:row>
    <x:row r="227">
      <x:c r="A227" s="23" t="n">
        <x:v>22</x:v>
      </x:c>
      <x:c r="B227" s="23" t="str">
        <x:v>周二</x:v>
      </x:c>
      <x:c r="C227" s="23" t="str">
        <x:v>9月30日</x:v>
      </x:c>
      <x:c r="D227" s="24" t="n">
        <x:v>7372.524</x:v>
      </x:c>
      <x:c r="E227" s="24" t="n">
        <x:v>7428.031</x:v>
      </x:c>
      <x:c r="F227" s="24" t="n">
        <x:v>7372.063</x:v>
      </x:c>
      <x:c r="G227" s="24" t="n">
        <x:v>7412.368</x:v>
      </x:c>
      <x:c r="H227" s="24" t="n">
        <x:v>61.8</x:v>
      </x:c>
      <x:c r="I227" s="25" t="n">
        <x:v>0.008408611044600667</x:v>
      </x:c>
      <x:c r="J227" s="24" t="n">
        <x:f>ROUND(E227-F227,1)</x:f>
        <x:v>56</x:v>
      </x:c>
      <x:c r="K227" s="23" t="str">
        <x:v>中证500</x:v>
      </x:c>
    </x:row>
    <x:row r="228">
      <x:c r="A228" s="38" t="str">
        <x:v>合计</x:v>
      </x:c>
      <x:c r="B228" s="37" t="n">
        <x:v>22</x:v>
      </x:c>
      <x:c r="C228" s="37"/>
      <x:c r="D228" s="37"/>
      <x:c r="E228" s="37"/>
      <x:c r="F228" s="37"/>
      <x:c r="G228" s="37"/>
      <x:c r="H228" s="37"/>
      <x:c r="I228" s="37"/>
      <x:c r="J228" s="39" t="n">
        <x:f>ROUND(SUM(J206:J227),1)</x:f>
        <x:v>3074.1</x:v>
      </x:c>
      <x:c r="K228" s="37"/>
    </x:row>
    <x:row r="229">
      <x:c r="A229" s="38" t="str">
        <x:v>均值</x:v>
      </x:c>
      <x:c r="B229" s="37"/>
      <x:c r="C229" s="37"/>
      <x:c r="D229" s="37"/>
      <x:c r="E229" s="37"/>
      <x:c r="F229" s="37"/>
      <x:c r="G229" s="37"/>
      <x:c r="H229" s="37"/>
      <x:c r="I229" s="37"/>
      <x:c r="J229" s="41" t="n">
        <x:f>ROUND(IFERROR(AVERAGE(J206:J227),0),1)</x:f>
        <x:v>139.7</x:v>
      </x:c>
      <x:c r="K229" s="37"/>
    </x:row>
    <x:row r="231">
      <x:c r="A231" s="17" t="str">
        <x:v>10月</x:v>
      </x:c>
      <x:c r="B231" s="17"/>
      <x:c r="C231" s="17"/>
      <x:c r="D231" s="17"/>
      <x:c r="E231" s="17"/>
      <x:c r="F231" s="17"/>
      <x:c r="G231" s="17"/>
      <x:c r="H231" s="17"/>
      <x:c r="I231" s="17"/>
      <x:c r="J231" s="17"/>
      <x:c r="K231" s="17"/>
    </x:row>
    <x:row r="232">
      <x:c r="A232" s="20" t="str">
        <x:v>序号</x:v>
      </x:c>
      <x:c r="B232" s="20" t="str">
        <x:v>星期</x:v>
      </x:c>
      <x:c r="C232" s="20" t="str">
        <x:v>日期</x:v>
      </x:c>
      <x:c r="D232" s="20" t="str">
        <x:v>开盘</x:v>
      </x:c>
      <x:c r="E232" s="20" t="str">
        <x:v>高点</x:v>
      </x:c>
      <x:c r="F232" s="20" t="str">
        <x:v>低点</x:v>
      </x:c>
      <x:c r="G232" s="20" t="str">
        <x:v>收盘</x:v>
      </x:c>
      <x:c r="H232" s="20" t="str">
        <x:v>涨跌点数</x:v>
      </x:c>
      <x:c r="I232" s="20" t="str">
        <x:v>涨幅</x:v>
      </x:c>
      <x:c r="J232" s="20" t="str">
        <x:v>振幅</x:v>
      </x:c>
      <x:c r="K232" s="20" t="str">
        <x:v>标的</x:v>
      </x:c>
    </x:row>
    <x:row r="233">
      <x:c r="A233" s="23" t="n">
        <x:v>1</x:v>
      </x:c>
      <x:c r="B233" s="23" t="str">
        <x:v>周四</x:v>
      </x:c>
      <x:c r="C233" s="23" t="str">
        <x:v>10月9日</x:v>
      </x:c>
      <x:c r="D233" s="24" t="n">
        <x:v>7470.047</x:v>
      </x:c>
      <x:c r="E233" s="24" t="n">
        <x:v>7559.092</x:v>
      </x:c>
      <x:c r="F233" s="24" t="n">
        <x:v>7437.324</x:v>
      </x:c>
      <x:c r="G233" s="24" t="n">
        <x:v>7548.923</x:v>
      </x:c>
      <x:c r="H233" s="24" t="n">
        <x:v>136.6</x:v>
      </x:c>
      <x:c r="I233" s="25" t="n">
        <x:v>0.01842258776142791</x:v>
      </x:c>
      <x:c r="J233" s="24" t="n">
        <x:f>ROUND(E233-F233,1)</x:f>
        <x:v>121.8</x:v>
      </x:c>
      <x:c r="K233" s="23" t="str">
        <x:v>中证500</x:v>
      </x:c>
    </x:row>
    <x:row r="234">
      <x:c r="A234" s="23" t="n">
        <x:v>2</x:v>
      </x:c>
      <x:c r="B234" s="23" t="str">
        <x:v>周五</x:v>
      </x:c>
      <x:c r="C234" s="23" t="str">
        <x:v>10月10日</x:v>
      </x:c>
      <x:c r="D234" s="24" t="n">
        <x:v>7499.392</x:v>
      </x:c>
      <x:c r="E234" s="24" t="n">
        <x:v>7509.116</x:v>
      </x:c>
      <x:c r="F234" s="24" t="n">
        <x:v>7373.984</x:v>
      </x:c>
      <x:c r="G234" s="24" t="n">
        <x:v>7398.224</x:v>
      </x:c>
      <x:c r="H234" s="27" t="n">
        <x:v>-150.7</x:v>
      </x:c>
      <x:c r="I234" s="25" t="n">
        <x:v>-0.019962980149618614</x:v>
      </x:c>
      <x:c r="J234" s="24" t="n">
        <x:f>ROUND(E234-F234,1)</x:f>
        <x:v>135.1</x:v>
      </x:c>
      <x:c r="K234" s="23" t="str">
        <x:v>中证500</x:v>
      </x:c>
    </x:row>
    <x:row r="235">
      <x:c r="A235" s="23" t="n">
        <x:v>3</x:v>
      </x:c>
      <x:c r="B235" s="23" t="str">
        <x:v>周一</x:v>
      </x:c>
      <x:c r="C235" s="23" t="str">
        <x:v>10月13日</x:v>
      </x:c>
      <x:c r="D235" s="24" t="n">
        <x:v>7135.104</x:v>
      </x:c>
      <x:c r="E235" s="24" t="n">
        <x:v>7391.825</x:v>
      </x:c>
      <x:c r="F235" s="24" t="n">
        <x:v>7135.104</x:v>
      </x:c>
      <x:c r="G235" s="24" t="n">
        <x:v>7376.564</x:v>
      </x:c>
      <x:c r="H235" s="24" t="n">
        <x:v>-21.7</x:v>
      </x:c>
      <x:c r="I235" s="25" t="n">
        <x:v>-0.002927729682150715</x:v>
      </x:c>
      <x:c r="J235" s="29" t="n">
        <x:f>ROUND(E235-F235,1)</x:f>
        <x:v>256.7</x:v>
      </x:c>
      <x:c r="K235" s="23" t="str">
        <x:v>中证500</x:v>
      </x:c>
    </x:row>
    <x:row r="236">
      <x:c r="A236" s="23" t="n">
        <x:v>4</x:v>
      </x:c>
      <x:c r="B236" s="23" t="str">
        <x:v>周二</x:v>
      </x:c>
      <x:c r="C236" s="23" t="str">
        <x:v>10月14日</x:v>
      </x:c>
      <x:c r="D236" s="24" t="n">
        <x:v>7434.115</x:v>
      </x:c>
      <x:c r="E236" s="24" t="n">
        <x:v>7459.016</x:v>
      </x:c>
      <x:c r="F236" s="24" t="n">
        <x:v>7166.082</x:v>
      </x:c>
      <x:c r="G236" s="24" t="n">
        <x:v>7194.851</x:v>
      </x:c>
      <x:c r="H236" s="27" t="n">
        <x:v>-181.7</x:v>
      </x:c>
      <x:c r="I236" s="25" t="n">
        <x:v>-0.024633826806084835</x:v>
      </x:c>
      <x:c r="J236" s="29" t="n">
        <x:f>ROUND(E236-F236,1)</x:f>
        <x:v>292.9</x:v>
      </x:c>
      <x:c r="K236" s="23" t="str">
        <x:v>中证500</x:v>
      </x:c>
    </x:row>
    <x:row r="237">
      <x:c r="A237" s="23" t="n">
        <x:v>5</x:v>
      </x:c>
      <x:c r="B237" s="23" t="str">
        <x:v>周三</x:v>
      </x:c>
      <x:c r="C237" s="23" t="str">
        <x:v>10月15日</x:v>
      </x:c>
      <x:c r="D237" s="24" t="n">
        <x:v>7205.737</x:v>
      </x:c>
      <x:c r="E237" s="24" t="n">
        <x:v>7294.001</x:v>
      </x:c>
      <x:c r="F237" s="24" t="n">
        <x:v>7153.419</x:v>
      </x:c>
      <x:c r="G237" s="24" t="n">
        <x:v>7294.001</x:v>
      </x:c>
      <x:c r="H237" s="24" t="n">
        <x:v>99.2</x:v>
      </x:c>
      <x:c r="I237" s="25" t="n">
        <x:v>0.013780688439552158</x:v>
      </x:c>
      <x:c r="J237" s="24" t="n">
        <x:f>ROUND(E237-F237,1)</x:f>
        <x:v>140.6</x:v>
      </x:c>
      <x:c r="K237" s="23" t="str">
        <x:v>中证500</x:v>
      </x:c>
    </x:row>
    <x:row r="238">
      <x:c r="A238" s="23" t="n">
        <x:v>6</x:v>
      </x:c>
      <x:c r="B238" s="23" t="str">
        <x:v>周四</x:v>
      </x:c>
      <x:c r="C238" s="23" t="str">
        <x:v>10月16日</x:v>
      </x:c>
      <x:c r="D238" s="24" t="n">
        <x:v>7269.259</x:v>
      </x:c>
      <x:c r="E238" s="24" t="n">
        <x:v>7305.947</x:v>
      </x:c>
      <x:c r="F238" s="24" t="n">
        <x:v>7206.443</x:v>
      </x:c>
      <x:c r="G238" s="24" t="n">
        <x:v>7231.534</x:v>
      </x:c>
      <x:c r="H238" s="24" t="n">
        <x:v>-62.5</x:v>
      </x:c>
      <x:c r="I238" s="25" t="n">
        <x:v>-0.008564161151061067</x:v>
      </x:c>
      <x:c r="J238" s="24" t="n">
        <x:f>ROUND(E238-F238,1)</x:f>
        <x:v>99.5</x:v>
      </x:c>
      <x:c r="K238" s="23" t="str">
        <x:v>中证500</x:v>
      </x:c>
    </x:row>
    <x:row r="239">
      <x:c r="A239" s="33" t="n">
        <x:v>7</x:v>
      </x:c>
      <x:c r="B239" s="33" t="str">
        <x:v>周五</x:v>
      </x:c>
      <x:c r="C239" s="33" t="str">
        <x:v>10月17日</x:v>
      </x:c>
      <x:c r="D239" s="34" t="n">
        <x:v>7226.421</x:v>
      </x:c>
      <x:c r="E239" s="34" t="n">
        <x:v>7254.579</x:v>
      </x:c>
      <x:c r="F239" s="34" t="n">
        <x:v>7009.891</x:v>
      </x:c>
      <x:c r="G239" s="34" t="n">
        <x:v>7016.066</x:v>
      </x:c>
      <x:c r="H239" s="27" t="n">
        <x:v>-215.5</x:v>
      </x:c>
      <x:c r="I239" s="35" t="n">
        <x:v>-0.029795614595741315</x:v>
      </x:c>
      <x:c r="J239" s="29" t="n">
        <x:f>ROUND(E239-F239,1)</x:f>
        <x:v>244.7</x:v>
      </x:c>
      <x:c r="K239" s="33" t="str">
        <x:v>中证500</x:v>
      </x:c>
    </x:row>
    <x:row r="240">
      <x:c r="A240" s="23" t="n">
        <x:v>8</x:v>
      </x:c>
      <x:c r="B240" s="23" t="str">
        <x:v>周一</x:v>
      </x:c>
      <x:c r="C240" s="23" t="str">
        <x:v>10月20日</x:v>
      </x:c>
      <x:c r="D240" s="24" t="n">
        <x:v>7092.884</x:v>
      </x:c>
      <x:c r="E240" s="24" t="n">
        <x:v>7129.994</x:v>
      </x:c>
      <x:c r="F240" s="24" t="n">
        <x:v>7033.384</x:v>
      </x:c>
      <x:c r="G240" s="24" t="n">
        <x:v>7069.641</x:v>
      </x:c>
      <x:c r="H240" s="24" t="n">
        <x:v>53.6</x:v>
      </x:c>
      <x:c r="I240" s="25" t="n">
        <x:v>0.007636045613025777</x:v>
      </x:c>
      <x:c r="J240" s="24" t="n">
        <x:f>ROUND(E240-F240,1)</x:f>
        <x:v>96.6</x:v>
      </x:c>
      <x:c r="K240" s="23" t="str">
        <x:v>中证500</x:v>
      </x:c>
    </x:row>
    <x:row r="241">
      <x:c r="A241" s="23" t="n">
        <x:v>9</x:v>
      </x:c>
      <x:c r="B241" s="23" t="str">
        <x:v>周二</x:v>
      </x:c>
      <x:c r="C241" s="23" t="str">
        <x:v>10月21日</x:v>
      </x:c>
      <x:c r="D241" s="24" t="n">
        <x:v>7095.616</x:v>
      </x:c>
      <x:c r="E241" s="24" t="n">
        <x:v>7193.73</x:v>
      </x:c>
      <x:c r="F241" s="24" t="n">
        <x:v>7082.3</x:v>
      </x:c>
      <x:c r="G241" s="24" t="n">
        <x:v>7185.624</x:v>
      </x:c>
      <x:c r="H241" s="24" t="n">
        <x:v>116</x:v>
      </x:c>
      <x:c r="I241" s="25" t="n">
        <x:v>0.016405783546858954</x:v>
      </x:c>
      <x:c r="J241" s="24" t="n">
        <x:f>ROUND(E241-F241,1)</x:f>
        <x:v>111.4</x:v>
      </x:c>
      <x:c r="K241" s="23" t="str">
        <x:v>中证500</x:v>
      </x:c>
    </x:row>
    <x:row r="242">
      <x:c r="A242" s="23" t="n">
        <x:v>10</x:v>
      </x:c>
      <x:c r="B242" s="23" t="str">
        <x:v>周三</x:v>
      </x:c>
      <x:c r="C242" s="23" t="str">
        <x:v>10月22日</x:v>
      </x:c>
      <x:c r="D242" s="24" t="n">
        <x:v>7135.208</x:v>
      </x:c>
      <x:c r="E242" s="24" t="n">
        <x:v>7166.557</x:v>
      </x:c>
      <x:c r="F242" s="24" t="n">
        <x:v>7101.827</x:v>
      </x:c>
      <x:c r="G242" s="24" t="n">
        <x:v>7128.478</x:v>
      </x:c>
      <x:c r="H242" s="24" t="n">
        <x:v>-57.1</x:v>
      </x:c>
      <x:c r="I242" s="25" t="n">
        <x:v>-0.007952823582196844</x:v>
      </x:c>
      <x:c r="J242" s="24" t="n">
        <x:f>ROUND(E242-F242,1)</x:f>
        <x:v>64.7</x:v>
      </x:c>
      <x:c r="K242" s="23" t="str">
        <x:v>中证500</x:v>
      </x:c>
    </x:row>
    <x:row r="243">
      <x:c r="A243" s="23" t="n">
        <x:v>11</x:v>
      </x:c>
      <x:c r="B243" s="23" t="str">
        <x:v>周四</x:v>
      </x:c>
      <x:c r="C243" s="23" t="str">
        <x:v>10月23日</x:v>
      </x:c>
      <x:c r="D243" s="24" t="n">
        <x:v>7108.855</x:v>
      </x:c>
      <x:c r="E243" s="24" t="n">
        <x:v>7153.656</x:v>
      </x:c>
      <x:c r="F243" s="24" t="n">
        <x:v>7022.295</x:v>
      </x:c>
      <x:c r="G243" s="24" t="n">
        <x:v>7142.954</x:v>
      </x:c>
      <x:c r="H243" s="24" t="n">
        <x:v>14.5</x:v>
      </x:c>
      <x:c r="I243" s="25" t="n">
        <x:v>0.0020307280179583387</x:v>
      </x:c>
      <x:c r="J243" s="24" t="n">
        <x:f>ROUND(E243-F243,1)</x:f>
        <x:v>131.4</x:v>
      </x:c>
      <x:c r="K243" s="23" t="str">
        <x:v>中证500</x:v>
      </x:c>
    </x:row>
    <x:row r="244">
      <x:c r="A244" s="23" t="n">
        <x:v>12</x:v>
      </x:c>
      <x:c r="B244" s="23" t="str">
        <x:v>周五</x:v>
      </x:c>
      <x:c r="C244" s="23" t="str">
        <x:v>10月24日</x:v>
      </x:c>
      <x:c r="D244" s="24" t="n">
        <x:v>7175.923</x:v>
      </x:c>
      <x:c r="E244" s="24" t="n">
        <x:v>7258.534</x:v>
      </x:c>
      <x:c r="F244" s="24" t="n">
        <x:v>7174.351</x:v>
      </x:c>
      <x:c r="G244" s="24" t="n">
        <x:v>7258.534</x:v>
      </x:c>
      <x:c r="H244" s="24" t="n">
        <x:v>115.6</x:v>
      </x:c>
      <x:c r="I244" s="25" t="n">
        <x:v>0.016180980585903226</x:v>
      </x:c>
      <x:c r="J244" s="24" t="n">
        <x:f>ROUND(E244-F244,1)</x:f>
        <x:v>84.2</x:v>
      </x:c>
      <x:c r="K244" s="23" t="str">
        <x:v>中证500</x:v>
      </x:c>
    </x:row>
    <x:row r="245">
      <x:c r="A245" s="23" t="n">
        <x:v>13</x:v>
      </x:c>
      <x:c r="B245" s="23" t="str">
        <x:v>周一</x:v>
      </x:c>
      <x:c r="C245" s="23" t="str">
        <x:v>10月27日</x:v>
      </x:c>
      <x:c r="D245" s="24" t="n">
        <x:v>7336.204</x:v>
      </x:c>
      <x:c r="E245" s="24" t="n">
        <x:v>7391.212</x:v>
      </x:c>
      <x:c r="F245" s="24" t="n">
        <x:v>7302.017</x:v>
      </x:c>
      <x:c r="G245" s="24" t="n">
        <x:v>7379.394</x:v>
      </x:c>
      <x:c r="H245" s="24" t="n">
        <x:v>120.9</x:v>
      </x:c>
      <x:c r="I245" s="25" t="n">
        <x:v>0.016650745178020898</x:v>
      </x:c>
      <x:c r="J245" s="24" t="n">
        <x:f>ROUND(E245-F245,1)</x:f>
        <x:v>89.2</x:v>
      </x:c>
      <x:c r="K245" s="23" t="str">
        <x:v>中证500</x:v>
      </x:c>
    </x:row>
    <x:row r="246">
      <x:c r="A246" s="23" t="n">
        <x:v>14</x:v>
      </x:c>
      <x:c r="B246" s="23" t="str">
        <x:v>周二</x:v>
      </x:c>
      <x:c r="C246" s="23" t="str">
        <x:v>10月28日</x:v>
      </x:c>
      <x:c r="D246" s="24" t="n">
        <x:v>7344.454</x:v>
      </x:c>
      <x:c r="E246" s="24" t="n">
        <x:v>7404.756</x:v>
      </x:c>
      <x:c r="F246" s="24" t="n">
        <x:v>7308.272</x:v>
      </x:c>
      <x:c r="G246" s="24" t="n">
        <x:v>7341.03</x:v>
      </x:c>
      <x:c r="H246" s="24" t="n">
        <x:v>-38.4</x:v>
      </x:c>
      <x:c r="I246" s="25" t="n">
        <x:v>-0.005198800877145304</x:v>
      </x:c>
      <x:c r="J246" s="24" t="n">
        <x:f>ROUND(E246-F246,1)</x:f>
        <x:v>96.5</x:v>
      </x:c>
      <x:c r="K246" s="23" t="str">
        <x:v>中证500</x:v>
      </x:c>
    </x:row>
    <x:row r="247">
      <x:c r="A247" s="23" t="n">
        <x:v>15</x:v>
      </x:c>
      <x:c r="B247" s="23" t="str">
        <x:v>周三</x:v>
      </x:c>
      <x:c r="C247" s="23" t="str">
        <x:v>10月29日</x:v>
      </x:c>
      <x:c r="D247" s="24" t="n">
        <x:v>7350.757</x:v>
      </x:c>
      <x:c r="E247" s="24" t="n">
        <x:v>7480.967</x:v>
      </x:c>
      <x:c r="F247" s="24" t="n">
        <x:v>7350.757</x:v>
      </x:c>
      <x:c r="G247" s="24" t="n">
        <x:v>7480.967</x:v>
      </x:c>
      <x:c r="H247" s="24" t="n">
        <x:v>139.9</x:v>
      </x:c>
      <x:c r="I247" s="25" t="n">
        <x:v>0.019062311419514755</x:v>
      </x:c>
      <x:c r="J247" s="24" t="n">
        <x:f>ROUND(E247-F247,1)</x:f>
        <x:v>130.2</x:v>
      </x:c>
      <x:c r="K247" s="23" t="str">
        <x:v>中证500</x:v>
      </x:c>
    </x:row>
    <x:row r="248">
      <x:c r="A248" s="23" t="n">
        <x:v>16</x:v>
      </x:c>
      <x:c r="B248" s="23" t="str">
        <x:v>周四</x:v>
      </x:c>
      <x:c r="C248" s="23" t="str">
        <x:v>10月30日</x:v>
      </x:c>
      <x:c r="D248" s="24" t="n">
        <x:v>7462.433</x:v>
      </x:c>
      <x:c r="E248" s="24" t="n">
        <x:v>7463.653</x:v>
      </x:c>
      <x:c r="F248" s="24" t="n">
        <x:v>7375.239</x:v>
      </x:c>
      <x:c r="G248" s="24" t="n">
        <x:v>7385.711</x:v>
      </x:c>
      <x:c r="H248" s="24" t="n">
        <x:v>-95.3</x:v>
      </x:c>
      <x:c r="I248" s="25" t="n">
        <x:v>-0.01273311324592119</x:v>
      </x:c>
      <x:c r="J248" s="24" t="n">
        <x:f>ROUND(E248-F248,1)</x:f>
        <x:v>88.4</x:v>
      </x:c>
      <x:c r="K248" s="23" t="str">
        <x:v>中证500</x:v>
      </x:c>
    </x:row>
    <x:row r="249">
      <x:c r="A249" s="23" t="n">
        <x:v>17</x:v>
      </x:c>
      <x:c r="B249" s="23" t="str">
        <x:v>周五</x:v>
      </x:c>
      <x:c r="C249" s="23" t="str">
        <x:v>10月31日</x:v>
      </x:c>
      <x:c r="D249" s="24" t="n">
        <x:v>7385.742</x:v>
      </x:c>
      <x:c r="E249" s="24" t="n">
        <x:v>7430.856</x:v>
      </x:c>
      <x:c r="F249" s="24" t="n">
        <x:v>7331.003</x:v>
      </x:c>
      <x:c r="G249" s="24" t="n">
        <x:v>7331.003</x:v>
      </x:c>
      <x:c r="H249" s="24" t="n">
        <x:v>-54.7</x:v>
      </x:c>
      <x:c r="I249" s="25" t="n">
        <x:v>-0.007407276022579401</x:v>
      </x:c>
      <x:c r="J249" s="24" t="n">
        <x:f>ROUND(E249-F249,1)</x:f>
        <x:v>99.9</x:v>
      </x:c>
      <x:c r="K249" s="23" t="str">
        <x:v>中证500</x:v>
      </x:c>
    </x:row>
    <x:row r="250">
      <x:c r="A250" s="38" t="str">
        <x:v>合计</x:v>
      </x:c>
      <x:c r="B250" s="37" t="n">
        <x:v>17</x:v>
      </x:c>
      <x:c r="C250" s="37"/>
      <x:c r="D250" s="37"/>
      <x:c r="E250" s="37"/>
      <x:c r="F250" s="37"/>
      <x:c r="G250" s="37"/>
      <x:c r="H250" s="37"/>
      <x:c r="I250" s="37"/>
      <x:c r="J250" s="39" t="n">
        <x:f>ROUND(SUM(J233:J249),1)</x:f>
        <x:v>2283.8</x:v>
      </x:c>
      <x:c r="K250" s="37"/>
    </x:row>
    <x:row r="251">
      <x:c r="A251" s="38" t="str">
        <x:v>均值</x:v>
      </x:c>
      <x:c r="B251" s="37"/>
      <x:c r="C251" s="37"/>
      <x:c r="D251" s="37"/>
      <x:c r="E251" s="37"/>
      <x:c r="F251" s="37"/>
      <x:c r="G251" s="37"/>
      <x:c r="H251" s="37"/>
      <x:c r="I251" s="37"/>
      <x:c r="J251" s="41" t="n">
        <x:f>ROUND(IFERROR(AVERAGE(J233:J249),0),1)</x:f>
        <x:v>134.3</x:v>
      </x:c>
      <x:c r="K251" s="37"/>
    </x:row>
    <x:row r="253">
      <x:c r="A253" s="17" t="str">
        <x:v>11月</x:v>
      </x:c>
      <x:c r="B253" s="17"/>
      <x:c r="C253" s="17"/>
      <x:c r="D253" s="17"/>
      <x:c r="E253" s="17"/>
      <x:c r="F253" s="17"/>
      <x:c r="G253" s="17"/>
      <x:c r="H253" s="17"/>
      <x:c r="I253" s="17"/>
      <x:c r="J253" s="17"/>
      <x:c r="K253" s="17"/>
    </x:row>
    <x:row r="254">
      <x:c r="A254" s="20" t="str">
        <x:v>序号</x:v>
      </x:c>
      <x:c r="B254" s="20" t="str">
        <x:v>星期</x:v>
      </x:c>
      <x:c r="C254" s="20" t="str">
        <x:v>日期</x:v>
      </x:c>
      <x:c r="D254" s="20" t="str">
        <x:v>开盘</x:v>
      </x:c>
      <x:c r="E254" s="20" t="str">
        <x:v>高点</x:v>
      </x:c>
      <x:c r="F254" s="20" t="str">
        <x:v>低点</x:v>
      </x:c>
      <x:c r="G254" s="20" t="str">
        <x:v>收盘</x:v>
      </x:c>
      <x:c r="H254" s="20" t="str">
        <x:v>涨跌点数</x:v>
      </x:c>
      <x:c r="I254" s="20" t="str">
        <x:v>涨幅</x:v>
      </x:c>
      <x:c r="J254" s="20" t="str">
        <x:v>振幅</x:v>
      </x:c>
      <x:c r="K254" s="20" t="str">
        <x:v>标的</x:v>
      </x:c>
    </x:row>
    <x:row r="255">
      <x:c r="A255" s="23" t="n">
        <x:v>1</x:v>
      </x:c>
      <x:c r="B255" s="23" t="str">
        <x:v>周一</x:v>
      </x:c>
      <x:c r="C255" s="23" t="str">
        <x:v>11月3日</x:v>
      </x:c>
      <x:c r="D255" s="24" t="n">
        <x:v>7327.12</x:v>
      </x:c>
      <x:c r="E255" s="24" t="n">
        <x:v>7336.511</x:v>
      </x:c>
      <x:c r="F255" s="24" t="n">
        <x:v>7214.833</x:v>
      </x:c>
      <x:c r="G255" s="24" t="n">
        <x:v>7333.601</x:v>
      </x:c>
      <x:c r="H255" s="24" t="n">
        <x:v>2.6</x:v>
      </x:c>
      <x:c r="I255" s="25" t="n">
        <x:v>0.00035438534126908117</x:v>
      </x:c>
      <x:c r="J255" s="24" t="n">
        <x:f>ROUND(E255-F255,1)</x:f>
        <x:v>121.7</x:v>
      </x:c>
      <x:c r="K255" s="23" t="str">
        <x:v>中证500</x:v>
      </x:c>
    </x:row>
    <x:row r="256">
      <x:c r="A256" s="23" t="n">
        <x:v>2</x:v>
      </x:c>
      <x:c r="B256" s="23" t="str">
        <x:v>周二</x:v>
      </x:c>
      <x:c r="C256" s="23" t="str">
        <x:v>11月4日</x:v>
      </x:c>
      <x:c r="D256" s="24" t="n">
        <x:v>7315.189</x:v>
      </x:c>
      <x:c r="E256" s="24" t="n">
        <x:v>7323.704</x:v>
      </x:c>
      <x:c r="F256" s="24" t="n">
        <x:v>7167.347</x:v>
      </x:c>
      <x:c r="G256" s="24" t="n">
        <x:v>7210.825</x:v>
      </x:c>
      <x:c r="H256" s="24" t="n">
        <x:v>-122.8</x:v>
      </x:c>
      <x:c r="I256" s="25" t="n">
        <x:v>-0.016741570750849366</x:v>
      </x:c>
      <x:c r="J256" s="24" t="n">
        <x:f>ROUND(E256-F256,1)</x:f>
        <x:v>156.4</x:v>
      </x:c>
      <x:c r="K256" s="23" t="str">
        <x:v>中证500</x:v>
      </x:c>
    </x:row>
    <x:row r="257">
      <x:c r="A257" s="23" t="n">
        <x:v>3</x:v>
      </x:c>
      <x:c r="B257" s="23" t="str">
        <x:v>周三</x:v>
      </x:c>
      <x:c r="C257" s="23" t="str">
        <x:v>11月5日</x:v>
      </x:c>
      <x:c r="D257" s="24" t="n">
        <x:v>7098.956</x:v>
      </x:c>
      <x:c r="E257" s="24" t="n">
        <x:v>7257.84</x:v>
      </x:c>
      <x:c r="F257" s="24" t="n">
        <x:v>7098.956</x:v>
      </x:c>
      <x:c r="G257" s="24" t="n">
        <x:v>7229.341</x:v>
      </x:c>
      <x:c r="H257" s="24" t="n">
        <x:v>18.5</x:v>
      </x:c>
      <x:c r="I257" s="25" t="n">
        <x:v>0.0025678060416112203</x:v>
      </x:c>
      <x:c r="J257" s="24" t="n">
        <x:f>ROUND(E257-F257,1)</x:f>
        <x:v>158.9</x:v>
      </x:c>
      <x:c r="K257" s="23" t="str">
        <x:v>中证500</x:v>
      </x:c>
    </x:row>
    <x:row r="258">
      <x:c r="A258" s="23" t="n">
        <x:v>4</x:v>
      </x:c>
      <x:c r="B258" s="23" t="str">
        <x:v>周四</x:v>
      </x:c>
      <x:c r="C258" s="23" t="str">
        <x:v>11月6日</x:v>
      </x:c>
      <x:c r="D258" s="24" t="n">
        <x:v>7243.196</x:v>
      </x:c>
      <x:c r="E258" s="24" t="n">
        <x:v>7352.177</x:v>
      </x:c>
      <x:c r="F258" s="24" t="n">
        <x:v>7243.196</x:v>
      </x:c>
      <x:c r="G258" s="24" t="n">
        <x:v>7345.723</x:v>
      </x:c>
      <x:c r="H258" s="24" t="n">
        <x:v>116.4</x:v>
      </x:c>
      <x:c r="I258" s="25" t="n">
        <x:v>0.01609856278739641</x:v>
      </x:c>
      <x:c r="J258" s="24" t="n">
        <x:f>ROUND(E258-F258,1)</x:f>
        <x:v>109</x:v>
      </x:c>
      <x:c r="K258" s="23" t="str">
        <x:v>中证500</x:v>
      </x:c>
    </x:row>
    <x:row r="259">
      <x:c r="A259" s="23" t="n">
        <x:v>5</x:v>
      </x:c>
      <x:c r="B259" s="23" t="str">
        <x:v>周五</x:v>
      </x:c>
      <x:c r="C259" s="23" t="str">
        <x:v>11月7日</x:v>
      </x:c>
      <x:c r="D259" s="24" t="n">
        <x:v>7307.296</x:v>
      </x:c>
      <x:c r="E259" s="24" t="n">
        <x:v>7371.438</x:v>
      </x:c>
      <x:c r="F259" s="24" t="n">
        <x:v>7285.819</x:v>
      </x:c>
      <x:c r="G259" s="24" t="n">
        <x:v>7327.911</x:v>
      </x:c>
      <x:c r="H259" s="24" t="n">
        <x:v>-17.8</x:v>
      </x:c>
      <x:c r="I259" s="25" t="n">
        <x:v>-0.0024248123704092572</x:v>
      </x:c>
      <x:c r="J259" s="24" t="n">
        <x:f>ROUND(E259-F259,1)</x:f>
        <x:v>85.6</x:v>
      </x:c>
      <x:c r="K259" s="23" t="str">
        <x:v>中证500</x:v>
      </x:c>
    </x:row>
    <x:row r="260">
      <x:c r="A260" s="23" t="n">
        <x:v>6</x:v>
      </x:c>
      <x:c r="B260" s="23" t="str">
        <x:v>周一</x:v>
      </x:c>
      <x:c r="C260" s="23" t="str">
        <x:v>11月10日</x:v>
      </x:c>
      <x:c r="D260" s="24" t="n">
        <x:v>7357.339</x:v>
      </x:c>
      <x:c r="E260" s="24" t="n">
        <x:v>7384.785</x:v>
      </x:c>
      <x:c r="F260" s="24" t="n">
        <x:v>7289.768</x:v>
      </x:c>
      <x:c r="G260" s="24" t="n">
        <x:v>7343.802</x:v>
      </x:c>
      <x:c r="H260" s="24" t="n">
        <x:v>15.9</x:v>
      </x:c>
      <x:c r="I260" s="25" t="n">
        <x:v>0.0021685579969517033</x:v>
      </x:c>
      <x:c r="J260" s="24" t="n">
        <x:f>ROUND(E260-F260,1)</x:f>
        <x:v>95</x:v>
      </x:c>
      <x:c r="K260" s="23" t="str">
        <x:v>中证500</x:v>
      </x:c>
    </x:row>
    <x:row r="261">
      <x:c r="A261" s="23" t="n">
        <x:v>7</x:v>
      </x:c>
      <x:c r="B261" s="23" t="str">
        <x:v>周二</x:v>
      </x:c>
      <x:c r="C261" s="23" t="str">
        <x:v>11月11日</x:v>
      </x:c>
      <x:c r="D261" s="24" t="n">
        <x:v>7364.925</x:v>
      </x:c>
      <x:c r="E261" s="24" t="n">
        <x:v>7379.806</x:v>
      </x:c>
      <x:c r="F261" s="24" t="n">
        <x:v>7281.975</x:v>
      </x:c>
      <x:c r="G261" s="24" t="n">
        <x:v>7291.608</x:v>
      </x:c>
      <x:c r="H261" s="24" t="n">
        <x:v>-52.2</x:v>
      </x:c>
      <x:c r="I261" s="25" t="n">
        <x:v>-0.0071072177599559305</x:v>
      </x:c>
      <x:c r="J261" s="24" t="n">
        <x:f>ROUND(E261-F261,1)</x:f>
        <x:v>97.8</x:v>
      </x:c>
      <x:c r="K261" s="23" t="str">
        <x:v>中证500</x:v>
      </x:c>
    </x:row>
    <x:row r="262">
      <x:c r="A262" s="23" t="n">
        <x:v>8</x:v>
      </x:c>
      <x:c r="B262" s="23" t="str">
        <x:v>周三</x:v>
      </x:c>
      <x:c r="C262" s="23" t="str">
        <x:v>11月12日</x:v>
      </x:c>
      <x:c r="D262" s="24" t="n">
        <x:v>7264.792</x:v>
      </x:c>
      <x:c r="E262" s="24" t="n">
        <x:v>7305.856</x:v>
      </x:c>
      <x:c r="F262" s="24" t="n">
        <x:v>7187.869</x:v>
      </x:c>
      <x:c r="G262" s="24" t="n">
        <x:v>7243.248</x:v>
      </x:c>
      <x:c r="H262" s="24" t="n">
        <x:v>-48.4</x:v>
      </x:c>
      <x:c r="I262" s="25" t="n">
        <x:v>-0.006632281932874129</x:v>
      </x:c>
      <x:c r="J262" s="24" t="n">
        <x:f>ROUND(E262-F262,1)</x:f>
        <x:v>118</x:v>
      </x:c>
      <x:c r="K262" s="23" t="str">
        <x:v>中证500</x:v>
      </x:c>
    </x:row>
    <x:row r="263">
      <x:c r="A263" s="23" t="n">
        <x:v>9</x:v>
      </x:c>
      <x:c r="B263" s="23" t="str">
        <x:v>周四</x:v>
      </x:c>
      <x:c r="C263" s="23" t="str">
        <x:v>11月13日</x:v>
      </x:c>
      <x:c r="D263" s="24" t="n">
        <x:v>7243.64</x:v>
      </x:c>
      <x:c r="E263" s="24" t="n">
        <x:v>7366.412</x:v>
      </x:c>
      <x:c r="F263" s="24" t="n">
        <x:v>7243.64</x:v>
      </x:c>
      <x:c r="G263" s="24" t="n">
        <x:v>7355.291</x:v>
      </x:c>
      <x:c r="H263" s="24" t="n">
        <x:v>112</x:v>
      </x:c>
      <x:c r="I263" s="25" t="n">
        <x:v>0.015468612975836349</x:v>
      </x:c>
      <x:c r="J263" s="24" t="n">
        <x:f>ROUND(E263-F263,1)</x:f>
        <x:v>122.8</x:v>
      </x:c>
      <x:c r="K263" s="23" t="str">
        <x:v>中证500</x:v>
      </x:c>
    </x:row>
    <x:row r="264">
      <x:c r="A264" s="23" t="n">
        <x:v>10</x:v>
      </x:c>
      <x:c r="B264" s="23" t="str">
        <x:v>周五</x:v>
      </x:c>
      <x:c r="C264" s="23" t="str">
        <x:v>11月14日</x:v>
      </x:c>
      <x:c r="D264" s="24" t="n">
        <x:v>7283.699</x:v>
      </x:c>
      <x:c r="E264" s="24" t="n">
        <x:v>7329.596</x:v>
      </x:c>
      <x:c r="F264" s="24" t="n">
        <x:v>7235.462</x:v>
      </x:c>
      <x:c r="G264" s="24" t="n">
        <x:v>7235.462</x:v>
      </x:c>
      <x:c r="H264" s="24" t="n">
        <x:v>-119.8</x:v>
      </x:c>
      <x:c r="I264" s="25" t="n">
        <x:v>-0.01629153761557489</x:v>
      </x:c>
      <x:c r="J264" s="24" t="n">
        <x:f>ROUND(E264-F264,1)</x:f>
        <x:v>94.1</x:v>
      </x:c>
      <x:c r="K264" s="23" t="str">
        <x:v>中证500</x:v>
      </x:c>
    </x:row>
    <x:row r="265">
      <x:c r="A265" s="23" t="n">
        <x:v>11</x:v>
      </x:c>
      <x:c r="B265" s="23" t="str">
        <x:v>周一</x:v>
      </x:c>
      <x:c r="C265" s="23" t="str">
        <x:v>11月17日</x:v>
      </x:c>
      <x:c r="D265" s="24" t="n">
        <x:v>7248.922</x:v>
      </x:c>
      <x:c r="E265" s="24" t="n">
        <x:v>7262.331</x:v>
      </x:c>
      <x:c r="F265" s="24" t="n">
        <x:v>7202.593</x:v>
      </x:c>
      <x:c r="G265" s="24" t="n">
        <x:v>7235.351</x:v>
      </x:c>
      <x:c r="H265" s="24" t="n">
        <x:v>-0.1</x:v>
      </x:c>
      <x:c r="I265" s="25" t="n">
        <x:v>-0.00001534110745116113</x:v>
      </x:c>
      <x:c r="J265" s="24" t="n">
        <x:f>ROUND(E265-F265,1)</x:f>
        <x:v>59.7</x:v>
      </x:c>
      <x:c r="K265" s="23" t="str">
        <x:v>中证500</x:v>
      </x:c>
    </x:row>
    <x:row r="266">
      <x:c r="A266" s="23" t="n">
        <x:v>12</x:v>
      </x:c>
      <x:c r="B266" s="23" t="str">
        <x:v>周二</x:v>
      </x:c>
      <x:c r="C266" s="23" t="str">
        <x:v>11月18日</x:v>
      </x:c>
      <x:c r="D266" s="24" t="n">
        <x:v>7215.03</x:v>
      </x:c>
      <x:c r="E266" s="24" t="n">
        <x:v>7230.542</x:v>
      </x:c>
      <x:c r="F266" s="24" t="n">
        <x:v>7118.409</x:v>
      </x:c>
      <x:c r="G266" s="24" t="n">
        <x:v>7151.018</x:v>
      </x:c>
      <x:c r="H266" s="24" t="n">
        <x:v>-84.3</x:v>
      </x:c>
      <x:c r="I266" s="25" t="n">
        <x:v>-0.011655688853242863</x:v>
      </x:c>
      <x:c r="J266" s="24" t="n">
        <x:f>ROUND(E266-F266,1)</x:f>
        <x:v>112.1</x:v>
      </x:c>
      <x:c r="K266" s="23" t="str">
        <x:v>中证500</x:v>
      </x:c>
    </x:row>
    <x:row r="267">
      <x:c r="A267" s="23" t="n">
        <x:v>13</x:v>
      </x:c>
      <x:c r="B267" s="23" t="str">
        <x:v>周三</x:v>
      </x:c>
      <x:c r="C267" s="23" t="str">
        <x:v>11月19日</x:v>
      </x:c>
      <x:c r="D267" s="24" t="n">
        <x:v>7141.264</x:v>
      </x:c>
      <x:c r="E267" s="24" t="n">
        <x:v>7178.15</x:v>
      </x:c>
      <x:c r="F267" s="24" t="n">
        <x:v>7086.123</x:v>
      </x:c>
      <x:c r="G267" s="24" t="n">
        <x:v>7122.747</x:v>
      </x:c>
      <x:c r="H267" s="24" t="n">
        <x:v>-28.3</x:v>
      </x:c>
      <x:c r="I267" s="25" t="n">
        <x:v>-0.003953423134999801</x:v>
      </x:c>
      <x:c r="J267" s="24" t="n">
        <x:f>ROUND(E267-F267,1)</x:f>
        <x:v>92</x:v>
      </x:c>
      <x:c r="K267" s="23" t="str">
        <x:v>中证500</x:v>
      </x:c>
    </x:row>
    <x:row r="268">
      <x:c r="A268" s="23" t="n">
        <x:v>14</x:v>
      </x:c>
      <x:c r="B268" s="23" t="str">
        <x:v>周四</x:v>
      </x:c>
      <x:c r="C268" s="23" t="str">
        <x:v>11月20日</x:v>
      </x:c>
      <x:c r="D268" s="24" t="n">
        <x:v>7174.105</x:v>
      </x:c>
      <x:c r="E268" s="24" t="n">
        <x:v>7180.732</x:v>
      </x:c>
      <x:c r="F268" s="24" t="n">
        <x:v>7056.9</x:v>
      </x:c>
      <x:c r="G268" s="24" t="n">
        <x:v>7061.95</x:v>
      </x:c>
      <x:c r="H268" s="24" t="n">
        <x:v>-60.8</x:v>
      </x:c>
      <x:c r="I268" s="25" t="n">
        <x:v>-0.008535611330853232</x:v>
      </x:c>
      <x:c r="J268" s="24" t="n">
        <x:f>ROUND(E268-F268,1)</x:f>
        <x:v>123.8</x:v>
      </x:c>
      <x:c r="K268" s="23" t="str">
        <x:v>中证500</x:v>
      </x:c>
    </x:row>
    <x:row r="269">
      <x:c r="A269" s="33" t="n">
        <x:v>15</x:v>
      </x:c>
      <x:c r="B269" s="33" t="str">
        <x:v>周五</x:v>
      </x:c>
      <x:c r="C269" s="33" t="str">
        <x:v>11月21日</x:v>
      </x:c>
      <x:c r="D269" s="34" t="n">
        <x:v>6955.749</x:v>
      </x:c>
      <x:c r="E269" s="34" t="n">
        <x:v>6986.778</x:v>
      </x:c>
      <x:c r="F269" s="34" t="n">
        <x:v>6817.41</x:v>
      </x:c>
      <x:c r="G269" s="34" t="n">
        <x:v>6817.41</x:v>
      </x:c>
      <x:c r="H269" s="27" t="n">
        <x:v>-244.5</x:v>
      </x:c>
      <x:c r="I269" s="35" t="n">
        <x:v>-0.034627829423884315</x:v>
      </x:c>
      <x:c r="J269" s="29" t="n">
        <x:f>ROUND(E269-F269,1)</x:f>
        <x:v>169.4</x:v>
      </x:c>
      <x:c r="K269" s="33" t="str">
        <x:v>中证500</x:v>
      </x:c>
    </x:row>
    <x:row r="270">
      <x:c r="A270" s="23" t="n">
        <x:v>16</x:v>
      </x:c>
      <x:c r="B270" s="23" t="str">
        <x:v>周一</x:v>
      </x:c>
      <x:c r="C270" s="23" t="str">
        <x:v>11月24日</x:v>
      </x:c>
      <x:c r="D270" s="24" t="n">
        <x:v>6856.755</x:v>
      </x:c>
      <x:c r="E270" s="24" t="n">
        <x:v>6905.923</x:v>
      </x:c>
      <x:c r="F270" s="24" t="n">
        <x:v>6797.496</x:v>
      </x:c>
      <x:c r="G270" s="24" t="n">
        <x:v>6868.966</x:v>
      </x:c>
      <x:c r="H270" s="24" t="n">
        <x:v>51.6</x:v>
      </x:c>
      <x:c r="I270" s="25" t="n">
        <x:v>0.007562402730655782</x:v>
      </x:c>
      <x:c r="J270" s="24" t="n">
        <x:f>ROUND(E270-F270,1)</x:f>
        <x:v>108.4</x:v>
      </x:c>
      <x:c r="K270" s="23" t="str">
        <x:v>中证500</x:v>
      </x:c>
    </x:row>
    <x:row r="271">
      <x:c r="A271" s="23" t="n">
        <x:v>17</x:v>
      </x:c>
      <x:c r="B271" s="23" t="str">
        <x:v>周二</x:v>
      </x:c>
      <x:c r="C271" s="23" t="str">
        <x:v>11月25日</x:v>
      </x:c>
      <x:c r="D271" s="24" t="n">
        <x:v>6915.123</x:v>
      </x:c>
      <x:c r="E271" s="24" t="n">
        <x:v>7018.47</x:v>
      </x:c>
      <x:c r="F271" s="24" t="n">
        <x:v>6912.32</x:v>
      </x:c>
      <x:c r="G271" s="24" t="n">
        <x:v>6954.603</x:v>
      </x:c>
      <x:c r="H271" s="24" t="n">
        <x:v>85.6</x:v>
      </x:c>
      <x:c r="I271" s="25" t="n">
        <x:v>0.01246723305953168</x:v>
      </x:c>
      <x:c r="J271" s="24" t="n">
        <x:f>ROUND(E271-F271,1)</x:f>
        <x:v>106.2</x:v>
      </x:c>
      <x:c r="K271" s="23" t="str">
        <x:v>中证500</x:v>
      </x:c>
    </x:row>
    <x:row r="272">
      <x:c r="A272" s="23" t="n">
        <x:v>18</x:v>
      </x:c>
      <x:c r="B272" s="23" t="str">
        <x:v>周三</x:v>
      </x:c>
      <x:c r="C272" s="23" t="str">
        <x:v>11月26日</x:v>
      </x:c>
      <x:c r="D272" s="24" t="n">
        <x:v>6946.081</x:v>
      </x:c>
      <x:c r="E272" s="24" t="n">
        <x:v>7024.882</x:v>
      </x:c>
      <x:c r="F272" s="24" t="n">
        <x:v>6936.877</x:v>
      </x:c>
      <x:c r="G272" s="24" t="n">
        <x:v>6965.045</x:v>
      </x:c>
      <x:c r="H272" s="24" t="n">
        <x:v>10.4</x:v>
      </x:c>
      <x:c r="I272" s="25" t="n">
        <x:v>0.001501451628511452</x:v>
      </x:c>
      <x:c r="J272" s="24" t="n">
        <x:f>ROUND(E272-F272,1)</x:f>
        <x:v>88</x:v>
      </x:c>
      <x:c r="K272" s="23" t="str">
        <x:v>中证500</x:v>
      </x:c>
    </x:row>
    <x:row r="273">
      <x:c r="A273" s="23" t="n">
        <x:v>19</x:v>
      </x:c>
      <x:c r="B273" s="23" t="str">
        <x:v>周四</x:v>
      </x:c>
      <x:c r="C273" s="23" t="str">
        <x:v>11月27日</x:v>
      </x:c>
      <x:c r="D273" s="24" t="n">
        <x:v>6970.733</x:v>
      </x:c>
      <x:c r="E273" s="24" t="n">
        <x:v>7045.845</x:v>
      </x:c>
      <x:c r="F273" s="24" t="n">
        <x:v>6943.444</x:v>
      </x:c>
      <x:c r="G273" s="24" t="n">
        <x:v>6951.284</x:v>
      </x:c>
      <x:c r="H273" s="24" t="n">
        <x:v>-13.8</x:v>
      </x:c>
      <x:c r="I273" s="25" t="n">
        <x:v>-0.001975723057065726</x:v>
      </x:c>
      <x:c r="J273" s="24" t="n">
        <x:f>ROUND(E273-F273,1)</x:f>
        <x:v>102.4</x:v>
      </x:c>
      <x:c r="K273" s="23" t="str">
        <x:v>中证500</x:v>
      </x:c>
    </x:row>
    <x:row r="274">
      <x:c r="A274" s="23" t="n">
        <x:v>20</x:v>
      </x:c>
      <x:c r="B274" s="23" t="str">
        <x:v>周五</x:v>
      </x:c>
      <x:c r="C274" s="23" t="str">
        <x:v>11月28日</x:v>
      </x:c>
      <x:c r="D274" s="24" t="n">
        <x:v>6947.237</x:v>
      </x:c>
      <x:c r="E274" s="24" t="n">
        <x:v>7031.712</x:v>
      </x:c>
      <x:c r="F274" s="24" t="n">
        <x:v>6941.483</x:v>
      </x:c>
      <x:c r="G274" s="24" t="n">
        <x:v>7031.551</x:v>
      </x:c>
      <x:c r="H274" s="24" t="n">
        <x:v>80.3</x:v>
      </x:c>
      <x:c r="I274" s="25" t="n">
        <x:v>0.01154707533169419</x:v>
      </x:c>
      <x:c r="J274" s="24" t="n">
        <x:f>ROUND(E274-F274,1)</x:f>
        <x:v>90.2</x:v>
      </x:c>
      <x:c r="K274" s="23" t="str">
        <x:v>中证500</x:v>
      </x:c>
    </x:row>
    <x:row r="275">
      <x:c r="A275" s="38" t="str">
        <x:v>合计</x:v>
      </x:c>
      <x:c r="B275" s="37" t="n">
        <x:v>20</x:v>
      </x:c>
      <x:c r="C275" s="37"/>
      <x:c r="D275" s="37"/>
      <x:c r="E275" s="37"/>
      <x:c r="F275" s="37"/>
      <x:c r="G275" s="37"/>
      <x:c r="H275" s="37"/>
      <x:c r="I275" s="37"/>
      <x:c r="J275" s="39" t="n">
        <x:f>ROUND(SUM(J255:J274),1)</x:f>
        <x:v>2211.5</x:v>
      </x:c>
      <x:c r="K275" s="37"/>
    </x:row>
    <x:row r="276">
      <x:c r="A276" s="38" t="str">
        <x:v>均值</x:v>
      </x:c>
      <x:c r="B276" s="37"/>
      <x:c r="C276" s="37"/>
      <x:c r="D276" s="37"/>
      <x:c r="E276" s="37"/>
      <x:c r="F276" s="37"/>
      <x:c r="G276" s="37"/>
      <x:c r="H276" s="37"/>
      <x:c r="I276" s="37"/>
      <x:c r="J276" s="41" t="n">
        <x:f>ROUND(IFERROR(AVERAGE(J255:J274),0),1)</x:f>
        <x:v>110.6</x:v>
      </x:c>
      <x:c r="K276" s="37"/>
    </x:row>
    <x:row r="278">
      <x:c r="A278" s="17" t="str">
        <x:v>12月</x:v>
      </x:c>
      <x:c r="B278" s="17"/>
      <x:c r="C278" s="17"/>
      <x:c r="D278" s="17"/>
      <x:c r="E278" s="17"/>
      <x:c r="F278" s="17"/>
      <x:c r="G278" s="17"/>
      <x:c r="H278" s="17"/>
      <x:c r="I278" s="17"/>
      <x:c r="J278" s="17"/>
      <x:c r="K278" s="17"/>
    </x:row>
    <x:row r="279">
      <x:c r="A279" s="20" t="str">
        <x:v>序号</x:v>
      </x:c>
      <x:c r="B279" s="20" t="str">
        <x:v>星期</x:v>
      </x:c>
      <x:c r="C279" s="20" t="str">
        <x:v>日期</x:v>
      </x:c>
      <x:c r="D279" s="20" t="str">
        <x:v>开盘</x:v>
      </x:c>
      <x:c r="E279" s="20" t="str">
        <x:v>高点</x:v>
      </x:c>
      <x:c r="F279" s="20" t="str">
        <x:v>低点</x:v>
      </x:c>
      <x:c r="G279" s="20" t="str">
        <x:v>收盘</x:v>
      </x:c>
      <x:c r="H279" s="20" t="str">
        <x:v>涨跌点数</x:v>
      </x:c>
      <x:c r="I279" s="20" t="str">
        <x:v>涨幅</x:v>
      </x:c>
      <x:c r="J279" s="20" t="str">
        <x:v>振幅</x:v>
      </x:c>
      <x:c r="K279" s="20" t="str">
        <x:v>标的</x:v>
      </x:c>
    </x:row>
    <x:row r="280">
      <x:c r="A280" s="23" t="n">
        <x:v>1</x:v>
      </x:c>
      <x:c r="B280" s="23" t="str">
        <x:v>周一</x:v>
      </x:c>
      <x:c r="C280" s="23" t="str">
        <x:v>12月1日</x:v>
      </x:c>
      <x:c r="D280" s="24" t="n">
        <x:v>7053.847</x:v>
      </x:c>
      <x:c r="E280" s="24" t="n">
        <x:v>7101.832</x:v>
      </x:c>
      <x:c r="F280" s="24" t="n">
        <x:v>7040.803</x:v>
      </x:c>
      <x:c r="G280" s="24" t="n">
        <x:v>7101.832</x:v>
      </x:c>
      <x:c r="H280" s="24" t="n">
        <x:v>70.3</x:v>
      </x:c>
      <x:c r="I280" s="25" t="n">
        <x:v>0.009995092121211968</x:v>
      </x:c>
      <x:c r="J280" s="24" t="n">
        <x:f>ROUND(E280-F280,1)</x:f>
        <x:v>61</x:v>
      </x:c>
      <x:c r="K280" s="23" t="str">
        <x:v>中证500</x:v>
      </x:c>
    </x:row>
    <x:row r="281">
      <x:c r="A281" s="23" t="n">
        <x:v>2</x:v>
      </x:c>
      <x:c r="B281" s="23" t="str">
        <x:v>周二</x:v>
      </x:c>
      <x:c r="C281" s="23" t="str">
        <x:v>12月2日</x:v>
      </x:c>
      <x:c r="D281" s="24" t="n">
        <x:v>7084.799</x:v>
      </x:c>
      <x:c r="E281" s="24" t="n">
        <x:v>7085.303</x:v>
      </x:c>
      <x:c r="F281" s="24" t="n">
        <x:v>7022.61</x:v>
      </x:c>
      <x:c r="G281" s="24" t="n">
        <x:v>7040.301</x:v>
      </x:c>
      <x:c r="H281" s="24" t="n">
        <x:v>-61.5</x:v>
      </x:c>
      <x:c r="I281" s="25" t="n">
        <x:v>-0.008664102445678834</x:v>
      </x:c>
      <x:c r="J281" s="24" t="n">
        <x:f>ROUND(E281-F281,1)</x:f>
        <x:v>62.7</x:v>
      </x:c>
      <x:c r="K281" s="23" t="str">
        <x:v>中证500</x:v>
      </x:c>
    </x:row>
    <x:row r="282">
      <x:c r="A282" s="23" t="n">
        <x:v>3</x:v>
      </x:c>
      <x:c r="B282" s="23" t="str">
        <x:v>周三</x:v>
      </x:c>
      <x:c r="C282" s="23" t="str">
        <x:v>12月3日</x:v>
      </x:c>
      <x:c r="D282" s="24" t="n">
        <x:v>7044.857</x:v>
      </x:c>
      <x:c r="E282" s="24" t="n">
        <x:v>7064.16</x:v>
      </x:c>
      <x:c r="F282" s="24" t="n">
        <x:v>6975.089</x:v>
      </x:c>
      <x:c r="G282" s="24" t="n">
        <x:v>6996.355</x:v>
      </x:c>
      <x:c r="H282" s="24" t="n">
        <x:v>-43.9</x:v>
      </x:c>
      <x:c r="I282" s="25" t="n">
        <x:v>-0.0062420626618096</x:v>
      </x:c>
      <x:c r="J282" s="24" t="n">
        <x:f>ROUND(E282-F282,1)</x:f>
        <x:v>89.1</x:v>
      </x:c>
      <x:c r="K282" s="23" t="str">
        <x:v>中证500</x:v>
      </x:c>
    </x:row>
    <x:row r="283">
      <x:c r="A283" s="23" t="n">
        <x:v>4</x:v>
      </x:c>
      <x:c r="B283" s="23" t="str">
        <x:v>周四</x:v>
      </x:c>
      <x:c r="C283" s="23" t="str">
        <x:v>12月4日</x:v>
      </x:c>
      <x:c r="D283" s="24" t="n">
        <x:v>7001.642</x:v>
      </x:c>
      <x:c r="E283" s="24" t="n">
        <x:v>7039.716</x:v>
      </x:c>
      <x:c r="F283" s="24" t="n">
        <x:v>6958.632</x:v>
      </x:c>
      <x:c r="G283" s="24" t="n">
        <x:v>7012.806</x:v>
      </x:c>
      <x:c r="H283" s="24" t="n">
        <x:v>16.5</x:v>
      </x:c>
      <x:c r="I283" s="25" t="n">
        <x:v>0.002351367247659608</x:v>
      </x:c>
      <x:c r="J283" s="24" t="n">
        <x:f>ROUND(E283-F283,1)</x:f>
        <x:v>81.1</x:v>
      </x:c>
      <x:c r="K283" s="23" t="str">
        <x:v>中证500</x:v>
      </x:c>
    </x:row>
    <x:row r="284">
      <x:c r="A284" s="23" t="n">
        <x:v>5</x:v>
      </x:c>
      <x:c r="B284" s="23" t="str">
        <x:v>周五</x:v>
      </x:c>
      <x:c r="C284" s="23" t="str">
        <x:v>12月5日</x:v>
      </x:c>
      <x:c r="D284" s="24" t="n">
        <x:v>7008.649</x:v>
      </x:c>
      <x:c r="E284" s="24" t="n">
        <x:v>7104.021</x:v>
      </x:c>
      <x:c r="F284" s="24" t="n">
        <x:v>6965.806</x:v>
      </x:c>
      <x:c r="G284" s="24" t="n">
        <x:v>7097.839</x:v>
      </x:c>
      <x:c r="H284" s="24" t="n">
        <x:v>85</x:v>
      </x:c>
      <x:c r="I284" s="25" t="n">
        <x:v>0.01212538889568604</x:v>
      </x:c>
      <x:c r="J284" s="24" t="n">
        <x:f>ROUND(E284-F284,1)</x:f>
        <x:v>138.2</x:v>
      </x:c>
      <x:c r="K284" s="23" t="str">
        <x:v>中证500</x:v>
      </x:c>
    </x:row>
    <x:row r="285">
      <x:c r="A285" s="23" t="n">
        <x:v>6</x:v>
      </x:c>
      <x:c r="B285" s="23" t="str">
        <x:v>周一</x:v>
      </x:c>
      <x:c r="C285" s="23" t="str">
        <x:v>12月8日</x:v>
      </x:c>
      <x:c r="D285" s="24" t="n">
        <x:v>7119.051</x:v>
      </x:c>
      <x:c r="E285" s="24" t="n">
        <x:v>7193.723</x:v>
      </x:c>
      <x:c r="F285" s="24" t="n">
        <x:v>7114.323</x:v>
      </x:c>
      <x:c r="G285" s="24" t="n">
        <x:v>7172.367</x:v>
      </x:c>
      <x:c r="H285" s="24" t="n">
        <x:v>74.5</x:v>
      </x:c>
      <x:c r="I285" s="25" t="n">
        <x:v>0.010500097283130838</x:v>
      </x:c>
      <x:c r="J285" s="24" t="n">
        <x:f>ROUND(E285-F285,1)</x:f>
        <x:v>79.4</x:v>
      </x:c>
      <x:c r="K285" s="23" t="str">
        <x:v>中证500</x:v>
      </x:c>
    </x:row>
    <x:row r="286">
      <x:c r="A286" s="23" t="n">
        <x:v>7</x:v>
      </x:c>
      <x:c r="B286" s="23" t="str">
        <x:v>周二</x:v>
      </x:c>
      <x:c r="C286" s="23" t="str">
        <x:v>12月9日</x:v>
      </x:c>
      <x:c r="D286" s="24" t="n">
        <x:v>7150.973</x:v>
      </x:c>
      <x:c r="E286" s="24" t="n">
        <x:v>7185.107</x:v>
      </x:c>
      <x:c r="F286" s="24" t="n">
        <x:v>7103.833</x:v>
      </x:c>
      <x:c r="G286" s="24" t="n">
        <x:v>7121.326</x:v>
      </x:c>
      <x:c r="H286" s="24" t="n">
        <x:v>-51</x:v>
      </x:c>
      <x:c r="I286" s="25" t="n">
        <x:v>-0.007116339696504714</x:v>
      </x:c>
      <x:c r="J286" s="24" t="n">
        <x:f>ROUND(E286-F286,1)</x:f>
        <x:v>81.3</x:v>
      </x:c>
      <x:c r="K286" s="23" t="str">
        <x:v>中证500</x:v>
      </x:c>
    </x:row>
    <x:row r="287">
      <x:c r="A287" s="23" t="n">
        <x:v>8</x:v>
      </x:c>
      <x:c r="B287" s="23" t="str">
        <x:v>周三</x:v>
      </x:c>
      <x:c r="C287" s="23" t="str">
        <x:v>12月10日</x:v>
      </x:c>
      <x:c r="D287" s="24" t="n">
        <x:v>7111.571</x:v>
      </x:c>
      <x:c r="E287" s="24" t="n">
        <x:v>7171.973</x:v>
      </x:c>
      <x:c r="F287" s="24" t="n">
        <x:v>7070.475</x:v>
      </x:c>
      <x:c r="G287" s="24" t="n">
        <x:v>7155.994</x:v>
      </x:c>
      <x:c r="H287" s="24" t="n">
        <x:v>34.7</x:v>
      </x:c>
      <x:c r="I287" s="25" t="n">
        <x:v>0.004868194490745159</x:v>
      </x:c>
      <x:c r="J287" s="24" t="n">
        <x:f>ROUND(E287-F287,1)</x:f>
        <x:v>101.5</x:v>
      </x:c>
      <x:c r="K287" s="23" t="str">
        <x:v>中证500</x:v>
      </x:c>
    </x:row>
    <x:row r="288">
      <x:c r="A288" s="23" t="n">
        <x:v>9</x:v>
      </x:c>
      <x:c r="B288" s="23" t="str">
        <x:v>周四</x:v>
      </x:c>
      <x:c r="C288" s="23" t="str">
        <x:v>12月11日</x:v>
      </x:c>
      <x:c r="D288" s="24" t="n">
        <x:v>7171.208</x:v>
      </x:c>
      <x:c r="E288" s="24" t="n">
        <x:v>7179.425</x:v>
      </x:c>
      <x:c r="F288" s="24" t="n">
        <x:v>7082.893</x:v>
      </x:c>
      <x:c r="G288" s="24" t="n">
        <x:v>7082.893</x:v>
      </x:c>
      <x:c r="H288" s="24" t="n">
        <x:v>-73.1</x:v>
      </x:c>
      <x:c r="I288" s="25" t="n">
        <x:v>-0.010215352332603955</x:v>
      </x:c>
      <x:c r="J288" s="24" t="n">
        <x:f>ROUND(E288-F288,1)</x:f>
        <x:v>96.5</x:v>
      </x:c>
      <x:c r="K288" s="23" t="str">
        <x:v>中证500</x:v>
      </x:c>
    </x:row>
    <x:row r="289">
      <x:c r="A289" s="23" t="n">
        <x:v>10</x:v>
      </x:c>
      <x:c r="B289" s="23" t="str">
        <x:v>周五</x:v>
      </x:c>
      <x:c r="C289" s="23" t="str">
        <x:v>12月12日</x:v>
      </x:c>
      <x:c r="D289" s="24" t="n">
        <x:v>7088.1</x:v>
      </x:c>
      <x:c r="E289" s="24" t="n">
        <x:v>7187.1</x:v>
      </x:c>
      <x:c r="F289" s="24" t="n">
        <x:v>7063.841</x:v>
      </x:c>
      <x:c r="G289" s="24" t="n">
        <x:v>7169.791</x:v>
      </x:c>
      <x:c r="H289" s="24" t="n">
        <x:v>86.9</x:v>
      </x:c>
      <x:c r="I289" s="25" t="n">
        <x:v>0.012268715622274717</x:v>
      </x:c>
      <x:c r="J289" s="24" t="n">
        <x:f>ROUND(E289-F289,1)</x:f>
        <x:v>123.3</x:v>
      </x:c>
      <x:c r="K289" s="23" t="str">
        <x:v>中证500</x:v>
      </x:c>
    </x:row>
    <x:row r="290">
      <x:c r="A290" s="23" t="n">
        <x:v>11</x:v>
      </x:c>
      <x:c r="B290" s="23" t="str">
        <x:v>周一</x:v>
      </x:c>
      <x:c r="C290" s="23" t="str">
        <x:v>12月15日</x:v>
      </x:c>
      <x:c r="D290" s="24" t="n">
        <x:v>7121.381</x:v>
      </x:c>
      <x:c r="E290" s="24" t="n">
        <x:v>7177.154</x:v>
      </x:c>
      <x:c r="F290" s="24" t="n">
        <x:v>7110.678</x:v>
      </x:c>
      <x:c r="G290" s="24" t="n">
        <x:v>7113.962</x:v>
      </x:c>
      <x:c r="H290" s="24" t="n">
        <x:v>-55.8</x:v>
      </x:c>
      <x:c r="I290" s="25" t="n">
        <x:v>-0.007786698384931956</x:v>
      </x:c>
      <x:c r="J290" s="24" t="n">
        <x:f>ROUND(E290-F290,1)</x:f>
        <x:v>66.5</x:v>
      </x:c>
      <x:c r="K290" s="23" t="str">
        <x:v>中证500</x:v>
      </x:c>
    </x:row>
    <x:row r="291">
      <x:c r="A291" s="23" t="n">
        <x:v>12</x:v>
      </x:c>
      <x:c r="B291" s="23" t="str">
        <x:v>周二</x:v>
      </x:c>
      <x:c r="C291" s="23" t="str">
        <x:v>12月16日</x:v>
      </x:c>
      <x:c r="D291" s="24" t="n">
        <x:v>7101.67</x:v>
      </x:c>
      <x:c r="E291" s="24" t="n">
        <x:v>7102.772</x:v>
      </x:c>
      <x:c r="F291" s="24" t="n">
        <x:v>6962.645</x:v>
      </x:c>
      <x:c r="G291" s="24" t="n">
        <x:v>7001.319</x:v>
      </x:c>
      <x:c r="H291" s="24" t="n">
        <x:v>-112.6</x:v>
      </x:c>
      <x:c r="I291" s="25" t="n">
        <x:v>-0.015834073895812262</x:v>
      </x:c>
      <x:c r="J291" s="24" t="n">
        <x:f>ROUND(E291-F291,1)</x:f>
        <x:v>140.1</x:v>
      </x:c>
      <x:c r="K291" s="23" t="str">
        <x:v>中证500</x:v>
      </x:c>
    </x:row>
    <x:row r="292">
      <x:c r="A292" s="23" t="n">
        <x:v>13</x:v>
      </x:c>
      <x:c r="B292" s="23" t="str">
        <x:v>周三</x:v>
      </x:c>
      <x:c r="C292" s="23" t="str">
        <x:v>12月17日</x:v>
      </x:c>
      <x:c r="D292" s="24" t="n">
        <x:v>7002.506</x:v>
      </x:c>
      <x:c r="E292" s="24" t="n">
        <x:v>7160.776</x:v>
      </x:c>
      <x:c r="F292" s="24" t="n">
        <x:v>6988.871</x:v>
      </x:c>
      <x:c r="G292" s="24" t="n">
        <x:v>7137.834</x:v>
      </x:c>
      <x:c r="H292" s="24" t="n">
        <x:v>136.5</x:v>
      </x:c>
      <x:c r="I292" s="25" t="n">
        <x:v>0.019498468788524015</x:v>
      </x:c>
      <x:c r="J292" s="29" t="n">
        <x:f>ROUND(E292-F292,1)</x:f>
        <x:v>171.9</x:v>
      </x:c>
      <x:c r="K292" s="23" t="str">
        <x:v>中证500</x:v>
      </x:c>
    </x:row>
    <x:row r="293">
      <x:c r="A293" s="23" t="n">
        <x:v>14</x:v>
      </x:c>
      <x:c r="B293" s="23" t="str">
        <x:v>周四</x:v>
      </x:c>
      <x:c r="C293" s="23" t="str">
        <x:v>12月18日</x:v>
      </x:c>
      <x:c r="D293" s="24" t="n">
        <x:v>7096.982</x:v>
      </x:c>
      <x:c r="E293" s="24" t="n">
        <x:v>7172.962</x:v>
      </x:c>
      <x:c r="F293" s="24" t="n">
        <x:v>7094.54</x:v>
      </x:c>
      <x:c r="G293" s="24" t="n">
        <x:v>7100.836</x:v>
      </x:c>
      <x:c r="H293" s="24" t="n">
        <x:v>-37</x:v>
      </x:c>
      <x:c r="I293" s="25" t="n">
        <x:v>-0.0051833651497078526</x:v>
      </x:c>
      <x:c r="J293" s="24" t="n">
        <x:f>ROUND(E293-F293,1)</x:f>
        <x:v>78.4</x:v>
      </x:c>
      <x:c r="K293" s="23" t="str">
        <x:v>中证500</x:v>
      </x:c>
    </x:row>
    <x:row r="294">
      <x:c r="A294" s="33" t="n">
        <x:v>15</x:v>
      </x:c>
      <x:c r="B294" s="33" t="str">
        <x:v>周五</x:v>
      </x:c>
      <x:c r="C294" s="33" t="str">
        <x:v>12月19日</x:v>
      </x:c>
      <x:c r="D294" s="34" t="n">
        <x:v>7124.405</x:v>
      </x:c>
      <x:c r="E294" s="34" t="n">
        <x:v>7197.068</x:v>
      </x:c>
      <x:c r="F294" s="34" t="n">
        <x:v>7117.158</x:v>
      </x:c>
      <x:c r="G294" s="34" t="n">
        <x:v>7169.551</x:v>
      </x:c>
      <x:c r="H294" s="34" t="n">
        <x:v>68.7</x:v>
      </x:c>
      <x:c r="I294" s="35" t="n">
        <x:v>0.009677029577925822</x:v>
      </x:c>
      <x:c r="J294" s="34" t="n">
        <x:f>ROUND(E294-F294,1)</x:f>
        <x:v>79.9</x:v>
      </x:c>
      <x:c r="K294" s="33" t="str">
        <x:v>中证500</x:v>
      </x:c>
    </x:row>
    <x:row r="295">
      <x:c r="A295" s="23" t="n">
        <x:v>16</x:v>
      </x:c>
      <x:c r="B295" s="23" t="str">
        <x:v>周一</x:v>
      </x:c>
      <x:c r="C295" s="23" t="str">
        <x:v>12月22日</x:v>
      </x:c>
      <x:c r="D295" s="24" t="n">
        <x:v>7205.489</x:v>
      </x:c>
      <x:c r="E295" s="24" t="n">
        <x:v>7277.386</x:v>
      </x:c>
      <x:c r="F295" s="24" t="n">
        <x:v>7205.489</x:v>
      </x:c>
      <x:c r="G295" s="24" t="n">
        <x:v>7255.661</x:v>
      </x:c>
      <x:c r="H295" s="24" t="n">
        <x:v>86.1</x:v>
      </x:c>
      <x:c r="I295" s="25" t="n">
        <x:v>0.012010515023883617</x:v>
      </x:c>
      <x:c r="J295" s="24" t="n">
        <x:f>ROUND(E295-F295,1)</x:f>
        <x:v>71.9</x:v>
      </x:c>
      <x:c r="K295" s="23" t="str">
        <x:v>中证500</x:v>
      </x:c>
    </x:row>
    <x:row r="296">
      <x:c r="A296" s="23" t="n">
        <x:v>17</x:v>
      </x:c>
      <x:c r="B296" s="23" t="str">
        <x:v>周二</x:v>
      </x:c>
      <x:c r="C296" s="23" t="str">
        <x:v>12月23日</x:v>
      </x:c>
      <x:c r="D296" s="24" t="n">
        <x:v>7257.908</x:v>
      </x:c>
      <x:c r="E296" s="24" t="n">
        <x:v>7297.703</x:v>
      </x:c>
      <x:c r="F296" s="24" t="n">
        <x:v>7228.723</x:v>
      </x:c>
      <x:c r="G296" s="24" t="n">
        <x:v>7256.786</x:v>
      </x:c>
      <x:c r="H296" s="24" t="n">
        <x:v>1.1</x:v>
      </x:c>
      <x:c r="I296" s="25" t="n">
        <x:v>0.00015505134542537213</x:v>
      </x:c>
      <x:c r="J296" s="24" t="n">
        <x:f>ROUND(E296-F296,1)</x:f>
        <x:v>69</x:v>
      </x:c>
      <x:c r="K296" s="23" t="str">
        <x:v>中证500</x:v>
      </x:c>
    </x:row>
    <x:row r="297">
      <x:c r="A297" s="23" t="n">
        <x:v>18</x:v>
      </x:c>
      <x:c r="B297" s="23" t="str">
        <x:v>周三</x:v>
      </x:c>
      <x:c r="C297" s="23" t="str">
        <x:v>12月24日</x:v>
      </x:c>
      <x:c r="D297" s="24" t="n">
        <x:v>7257.615</x:v>
      </x:c>
      <x:c r="E297" s="24" t="n">
        <x:v>7362.57</x:v>
      </x:c>
      <x:c r="F297" s="24" t="n">
        <x:v>7247.405</x:v>
      </x:c>
      <x:c r="G297" s="24" t="n">
        <x:v>7352.04</x:v>
      </x:c>
      <x:c r="H297" s="24" t="n">
        <x:v>95.3</x:v>
      </x:c>
      <x:c r="I297" s="25" t="n">
        <x:v>0.013126196638566956</x:v>
      </x:c>
      <x:c r="J297" s="24" t="n">
        <x:f>ROUND(E297-F297,1)</x:f>
        <x:v>115.2</x:v>
      </x:c>
      <x:c r="K297" s="23" t="str">
        <x:v>中证500</x:v>
      </x:c>
    </x:row>
    <x:row r="298">
      <x:c r="A298" s="23" t="n">
        <x:v>19</x:v>
      </x:c>
      <x:c r="B298" s="23" t="str">
        <x:v>周四</x:v>
      </x:c>
      <x:c r="C298" s="23" t="str">
        <x:v>12月25日</x:v>
      </x:c>
      <x:c r="D298" s="24" t="n">
        <x:v>7341.922</x:v>
      </x:c>
      <x:c r="E298" s="24" t="n">
        <x:v>7426.137</x:v>
      </x:c>
      <x:c r="F298" s="24" t="n">
        <x:v>7334.34</x:v>
      </x:c>
      <x:c r="G298" s="24" t="n">
        <x:v>7410.712</x:v>
      </x:c>
      <x:c r="H298" s="24" t="n">
        <x:v>58.7</x:v>
      </x:c>
      <x:c r="I298" s="25" t="n">
        <x:v>0.007980370074156307</x:v>
      </x:c>
      <x:c r="J298" s="24" t="n">
        <x:f>ROUND(E298-F298,1)</x:f>
        <x:v>91.8</x:v>
      </x:c>
      <x:c r="K298" s="23" t="str">
        <x:v>中证500</x:v>
      </x:c>
    </x:row>
    <x:row r="299">
      <x:c r="A299" s="23" t="n">
        <x:v>20</x:v>
      </x:c>
      <x:c r="B299" s="23" t="str">
        <x:v>周五</x:v>
      </x:c>
      <x:c r="C299" s="23" t="str">
        <x:v>12月26日</x:v>
      </x:c>
      <x:c r="D299" s="24" t="n">
        <x:v>7422.601</x:v>
      </x:c>
      <x:c r="E299" s="24" t="n">
        <x:v>7484.916</x:v>
      </x:c>
      <x:c r="F299" s="24" t="n">
        <x:v>7397.426</x:v>
      </x:c>
      <x:c r="G299" s="24" t="n">
        <x:v>7458.839</x:v>
      </x:c>
      <x:c r="H299" s="24" t="n">
        <x:v>48.1</x:v>
      </x:c>
      <x:c r="I299" s="25" t="n">
        <x:v>0.006494247786177576</x:v>
      </x:c>
      <x:c r="J299" s="24" t="n">
        <x:f>ROUND(E299-F299,1)</x:f>
        <x:v>87.5</x:v>
      </x:c>
      <x:c r="K299" s="23" t="str">
        <x:v>中证500</x:v>
      </x:c>
    </x:row>
    <x:row r="300">
      <x:c r="A300" s="23" t="n">
        <x:v>21</x:v>
      </x:c>
      <x:c r="B300" s="23" t="str">
        <x:v>周一</x:v>
      </x:c>
      <x:c r="C300" s="23" t="str">
        <x:v>12月29日</x:v>
      </x:c>
      <x:c r="D300" s="24" t="n">
        <x:v>7467.504</x:v>
      </x:c>
      <x:c r="E300" s="24" t="n">
        <x:v>7491.693</x:v>
      </x:c>
      <x:c r="F300" s="24" t="n">
        <x:v>7411.447</x:v>
      </x:c>
      <x:c r="G300" s="24" t="n">
        <x:v>7430.615</x:v>
      </x:c>
      <x:c r="H300" s="24" t="n">
        <x:v>-28.2</x:v>
      </x:c>
      <x:c r="I300" s="25" t="n">
        <x:v>-0.0037839669149581923</x:v>
      </x:c>
      <x:c r="J300" s="24" t="n">
        <x:f>ROUND(E300-F300,1)</x:f>
        <x:v>80.2</x:v>
      </x:c>
      <x:c r="K300" s="23" t="str">
        <x:v>中证500</x:v>
      </x:c>
    </x:row>
    <x:row r="301">
      <x:c r="A301" s="23" t="n">
        <x:v>22</x:v>
      </x:c>
      <x:c r="B301" s="23" t="str">
        <x:v>周二</x:v>
      </x:c>
      <x:c r="C301" s="23" t="str">
        <x:v>12月30日</x:v>
      </x:c>
      <x:c r="D301" s="24" t="n">
        <x:v>7390.14</x:v>
      </x:c>
      <x:c r="E301" s="24" t="n">
        <x:v>7495.061</x:v>
      </x:c>
      <x:c r="F301" s="24" t="n">
        <x:v>7389.869</x:v>
      </x:c>
      <x:c r="G301" s="24" t="n">
        <x:v>7458.936</x:v>
      </x:c>
      <x:c r="H301" s="24" t="n">
        <x:v>28.3</x:v>
      </x:c>
      <x:c r="I301" s="25" t="n">
        <x:v>0.0038113938079149534</x:v>
      </x:c>
      <x:c r="J301" s="24" t="n">
        <x:f>ROUND(E301-F301,1)</x:f>
        <x:v>105.2</x:v>
      </x:c>
      <x:c r="K301" s="23" t="str">
        <x:v>中证500</x:v>
      </x:c>
    </x:row>
    <x:row r="302">
      <x:c r="A302" s="23" t="n">
        <x:v>23</x:v>
      </x:c>
      <x:c r="B302" s="23" t="str">
        <x:v>周三</x:v>
      </x:c>
      <x:c r="C302" s="23" t="str">
        <x:v>12月31日</x:v>
      </x:c>
      <x:c r="D302" s="24" t="n">
        <x:v>7473.752</x:v>
      </x:c>
      <x:c r="E302" s="24" t="n">
        <x:v>7488.066</x:v>
      </x:c>
      <x:c r="F302" s="24" t="n">
        <x:v>7435.066</x:v>
      </x:c>
      <x:c r="G302" s="24" t="n">
        <x:v>7465.574</x:v>
      </x:c>
      <x:c r="H302" s="24" t="n">
        <x:v>6.6</x:v>
      </x:c>
      <x:c r="I302" s="25" t="n">
        <x:v>0.0008899392621146696</x:v>
      </x:c>
      <x:c r="J302" s="24" t="n">
        <x:f>ROUND(E302-F302,1)</x:f>
        <x:v>53</x:v>
      </x:c>
      <x:c r="K302" s="23" t="str">
        <x:v>中证500</x:v>
      </x:c>
    </x:row>
    <x:row r="303">
      <x:c r="A303" s="38" t="str">
        <x:v>合计</x:v>
      </x:c>
      <x:c r="B303" s="37" t="n">
        <x:v>23</x:v>
      </x:c>
      <x:c r="C303" s="37"/>
      <x:c r="D303" s="37"/>
      <x:c r="E303" s="37"/>
      <x:c r="F303" s="37"/>
      <x:c r="G303" s="37"/>
      <x:c r="H303" s="37"/>
      <x:c r="I303" s="37"/>
      <x:c r="J303" s="39" t="n">
        <x:f>ROUND(SUM(J280:J302),1)</x:f>
        <x:v>2124.7</x:v>
      </x:c>
      <x:c r="K303" s="37"/>
    </x:row>
    <x:row r="304">
      <x:c r="A304" s="38" t="str">
        <x:v>均值</x:v>
      </x:c>
      <x:c r="B304" s="37"/>
      <x:c r="C304" s="37"/>
      <x:c r="D304" s="37"/>
      <x:c r="E304" s="37"/>
      <x:c r="F304" s="37"/>
      <x:c r="G304" s="37"/>
      <x:c r="H304" s="37"/>
      <x:c r="I304" s="37"/>
      <x:c r="J304" s="41" t="n">
        <x:f>ROUND(IFERROR(AVERAGE(J280:J302),0),1)</x:f>
        <x:v>92.4</x:v>
      </x:c>
      <x:c r="K304" s="37"/>
    </x:row>
  </x:sheetData>
  <x:mergeCells>
    <x:mergeCell ref="A1:K1"/>
    <x:mergeCell ref="A3:K3"/>
    <x:mergeCell ref="A26:K26"/>
    <x:mergeCell ref="A49:K49"/>
    <x:mergeCell ref="A75:K75"/>
    <x:mergeCell ref="A101:K101"/>
    <x:mergeCell ref="A125:K125"/>
    <x:mergeCell ref="A150:K150"/>
    <x:mergeCell ref="A178:K178"/>
    <x:mergeCell ref="A204:K204"/>
    <x:mergeCell ref="A231:K231"/>
    <x:mergeCell ref="A253:K253"/>
    <x:mergeCell ref="A278:K27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4" hidden="0" customWidth="1"/>
  </x:cols>
  <x:sheetData>
    <x:row r="1" ht="38" customHeight="1">
      <x:c r="A1" s="15" t="str">
        <x:v>2025年统计 - 上证指数</x:v>
      </x:c>
    </x:row>
    <x:row r="3">
      <x:c r="A3" s="17" t="str">
        <x:v>1月</x:v>
      </x:c>
      <x:c r="B3" s="17"/>
      <x:c r="C3" s="17"/>
      <x:c r="D3" s="17"/>
      <x:c r="E3" s="17"/>
      <x:c r="F3" s="17"/>
      <x:c r="G3" s="17"/>
      <x:c r="H3" s="17"/>
      <x:c r="I3" s="17"/>
      <x:c r="J3" s="17"/>
      <x:c r="K3" s="17"/>
    </x:row>
    <x:row r="4">
      <x:c r="A4" s="20" t="str">
        <x:v>序号</x:v>
      </x:c>
      <x:c r="B4" s="20" t="str">
        <x:v>星期</x:v>
      </x:c>
      <x:c r="C4" s="20" t="str">
        <x:v>日期</x:v>
      </x:c>
      <x:c r="D4" s="20" t="str">
        <x:v>开盘</x:v>
      </x:c>
      <x:c r="E4" s="20" t="str">
        <x:v>高点</x:v>
      </x:c>
      <x:c r="F4" s="20" t="str">
        <x:v>低点</x:v>
      </x:c>
      <x:c r="G4" s="20" t="str">
        <x:v>收盘</x:v>
      </x:c>
      <x:c r="H4" s="20" t="str">
        <x:v>涨跌点数</x:v>
      </x:c>
      <x:c r="I4" s="20" t="str">
        <x:v>涨幅</x:v>
      </x:c>
      <x:c r="J4" s="20" t="str">
        <x:v>振幅</x:v>
      </x:c>
      <x:c r="K4" s="20" t="str">
        <x:v>标的</x:v>
      </x:c>
    </x:row>
    <x:row r="5">
      <x:c r="A5" s="23" t="n">
        <x:v>1</x:v>
      </x:c>
      <x:c r="B5" s="23" t="str">
        <x:v>周四</x:v>
      </x:c>
      <x:c r="C5" s="23" t="str">
        <x:v>1月2日</x:v>
      </x:c>
      <x:c r="D5" s="24" t="n">
        <x:v>3347.939</x:v>
      </x:c>
      <x:c r="E5" s="24" t="n">
        <x:v>3351.722</x:v>
      </x:c>
      <x:c r="F5" s="24" t="n">
        <x:v>3242.087</x:v>
      </x:c>
      <x:c r="G5" s="24" t="n">
        <x:v>3262.561</x:v>
      </x:c>
      <x:c r="H5" s="24" t="n">
        <x:v>-89.2</x:v>
      </x:c>
      <x:c r="I5" s="25" t="n">
        <x:v>-0.026613456858375684</x:v>
      </x:c>
      <x:c r="J5" s="29" t="n">
        <x:f>ROUND(E5-F5,1)</x:f>
        <x:v>109.6</x:v>
      </x:c>
      <x:c r="K5" s="23" t="str">
        <x:v>上证指数</x:v>
      </x:c>
    </x:row>
    <x:row r="6">
      <x:c r="A6" s="23" t="n">
        <x:v>2</x:v>
      </x:c>
      <x:c r="B6" s="23" t="str">
        <x:v>周五</x:v>
      </x:c>
      <x:c r="C6" s="23" t="str">
        <x:v>1月3日</x:v>
      </x:c>
      <x:c r="D6" s="24" t="n">
        <x:v>3267.077</x:v>
      </x:c>
      <x:c r="E6" s="24" t="n">
        <x:v>3273.566</x:v>
      </x:c>
      <x:c r="F6" s="24" t="n">
        <x:v>3205.776</x:v>
      </x:c>
      <x:c r="G6" s="24" t="n">
        <x:v>3211.43</x:v>
      </x:c>
      <x:c r="H6" s="24" t="n">
        <x:v>-51.1</x:v>
      </x:c>
      <x:c r="I6" s="25" t="n">
        <x:v>-0.015672044139557917</x:v>
      </x:c>
      <x:c r="J6" s="29" t="n">
        <x:f>ROUND(E6-F6,1)</x:f>
        <x:v>67.8</x:v>
      </x:c>
      <x:c r="K6" s="23" t="str">
        <x:v>上证指数</x:v>
      </x:c>
    </x:row>
    <x:row r="7">
      <x:c r="A7" s="23" t="n">
        <x:v>3</x:v>
      </x:c>
      <x:c r="B7" s="23" t="str">
        <x:v>周一</x:v>
      </x:c>
      <x:c r="C7" s="23" t="str">
        <x:v>1月6日</x:v>
      </x:c>
      <x:c r="D7" s="24" t="n">
        <x:v>3209.783</x:v>
      </x:c>
      <x:c r="E7" s="24" t="n">
        <x:v>3219.488</x:v>
      </x:c>
      <x:c r="F7" s="24" t="n">
        <x:v>3185.463</x:v>
      </x:c>
      <x:c r="G7" s="24" t="n">
        <x:v>3206.923</x:v>
      </x:c>
      <x:c r="H7" s="24" t="n">
        <x:v>-4.5</x:v>
      </x:c>
      <x:c r="I7" s="25" t="n">
        <x:v>-0.0014034246426046781</x:v>
      </x:c>
      <x:c r="J7" s="24" t="n">
        <x:f>ROUND(E7-F7,1)</x:f>
        <x:v>34</x:v>
      </x:c>
      <x:c r="K7" s="23" t="str">
        <x:v>上证指数</x:v>
      </x:c>
    </x:row>
    <x:row r="8">
      <x:c r="A8" s="23" t="n">
        <x:v>4</x:v>
      </x:c>
      <x:c r="B8" s="23" t="str">
        <x:v>周二</x:v>
      </x:c>
      <x:c r="C8" s="23" t="str">
        <x:v>1月7日</x:v>
      </x:c>
      <x:c r="D8" s="24" t="n">
        <x:v>3203.307</x:v>
      </x:c>
      <x:c r="E8" s="24" t="n">
        <x:v>3230.853</x:v>
      </x:c>
      <x:c r="F8" s="24" t="n">
        <x:v>3190.461</x:v>
      </x:c>
      <x:c r="G8" s="24" t="n">
        <x:v>3229.644</x:v>
      </x:c>
      <x:c r="H8" s="24" t="n">
        <x:v>22.7</x:v>
      </x:c>
      <x:c r="I8" s="25" t="n">
        <x:v>0.007084984578675568</x:v>
      </x:c>
      <x:c r="J8" s="24" t="n">
        <x:f>ROUND(E8-F8,1)</x:f>
        <x:v>40.4</x:v>
      </x:c>
      <x:c r="K8" s="23" t="str">
        <x:v>上证指数</x:v>
      </x:c>
    </x:row>
    <x:row r="9">
      <x:c r="A9" s="23" t="n">
        <x:v>5</x:v>
      </x:c>
      <x:c r="B9" s="23" t="str">
        <x:v>周三</x:v>
      </x:c>
      <x:c r="C9" s="23" t="str">
        <x:v>1月8日</x:v>
      </x:c>
      <x:c r="D9" s="24" t="n">
        <x:v>3218.858</x:v>
      </x:c>
      <x:c r="E9" s="24" t="n">
        <x:v>3246.291</x:v>
      </x:c>
      <x:c r="F9" s="24" t="n">
        <x:v>3175.725</x:v>
      </x:c>
      <x:c r="G9" s="24" t="n">
        <x:v>3230.168</x:v>
      </x:c>
      <x:c r="H9" s="24" t="n">
        <x:v>0.5</x:v>
      </x:c>
      <x:c r="I9" s="25" t="n">
        <x:v>0.00016224698449751607</x:v>
      </x:c>
      <x:c r="J9" s="29" t="n">
        <x:f>ROUND(E9-F9,1)</x:f>
        <x:v>70.6</x:v>
      </x:c>
      <x:c r="K9" s="23" t="str">
        <x:v>上证指数</x:v>
      </x:c>
    </x:row>
    <x:row r="10">
      <x:c r="A10" s="23" t="n">
        <x:v>6</x:v>
      </x:c>
      <x:c r="B10" s="23" t="str">
        <x:v>周四</x:v>
      </x:c>
      <x:c r="C10" s="23" t="str">
        <x:v>1月9日</x:v>
      </x:c>
      <x:c r="D10" s="24" t="n">
        <x:v>3220.721</x:v>
      </x:c>
      <x:c r="E10" s="24" t="n">
        <x:v>3228.973</x:v>
      </x:c>
      <x:c r="F10" s="24" t="n">
        <x:v>3205.91</x:v>
      </x:c>
      <x:c r="G10" s="24" t="n">
        <x:v>3211.393</x:v>
      </x:c>
      <x:c r="H10" s="24" t="n">
        <x:v>-18.8</x:v>
      </x:c>
      <x:c r="I10" s="25" t="n">
        <x:v>-0.005812391182130505</x:v>
      </x:c>
      <x:c r="J10" s="24" t="n">
        <x:f>ROUND(E10-F10,1)</x:f>
        <x:v>23.1</x:v>
      </x:c>
      <x:c r="K10" s="23" t="str">
        <x:v>上证指数</x:v>
      </x:c>
    </x:row>
    <x:row r="11">
      <x:c r="A11" s="23" t="n">
        <x:v>7</x:v>
      </x:c>
      <x:c r="B11" s="23" t="str">
        <x:v>周五</x:v>
      </x:c>
      <x:c r="C11" s="23" t="str">
        <x:v>1月10日</x:v>
      </x:c>
      <x:c r="D11" s="24" t="n">
        <x:v>3211.707</x:v>
      </x:c>
      <x:c r="E11" s="24" t="n">
        <x:v>3220.107</x:v>
      </x:c>
      <x:c r="F11" s="24" t="n">
        <x:v>3168.524</x:v>
      </x:c>
      <x:c r="G11" s="24" t="n">
        <x:v>3168.524</x:v>
      </x:c>
      <x:c r="H11" s="24" t="n">
        <x:v>-42.9</x:v>
      </x:c>
      <x:c r="I11" s="25" t="n">
        <x:v>-0.01334903576111679</x:v>
      </x:c>
      <x:c r="J11" s="29" t="n">
        <x:f>ROUND(E11-F11,1)</x:f>
        <x:v>51.6</x:v>
      </x:c>
      <x:c r="K11" s="23" t="str">
        <x:v>上证指数</x:v>
      </x:c>
    </x:row>
    <x:row r="12">
      <x:c r="A12" s="23" t="n">
        <x:v>8</x:v>
      </x:c>
      <x:c r="B12" s="23" t="str">
        <x:v>周一</x:v>
      </x:c>
      <x:c r="C12" s="23" t="str">
        <x:v>1月13日</x:v>
      </x:c>
      <x:c r="D12" s="24" t="n">
        <x:v>3148.826</x:v>
      </x:c>
      <x:c r="E12" s="24" t="n">
        <x:v>3172.7</x:v>
      </x:c>
      <x:c r="F12" s="24" t="n">
        <x:v>3140.978</x:v>
      </x:c>
      <x:c r="G12" s="24" t="n">
        <x:v>3160.755</x:v>
      </x:c>
      <x:c r="H12" s="24" t="n">
        <x:v>-7.8</x:v>
      </x:c>
      <x:c r="I12" s="25" t="n">
        <x:v>-0.00245193029940749</x:v>
      </x:c>
      <x:c r="J12" s="24" t="n">
        <x:f>ROUND(E12-F12,1)</x:f>
        <x:v>31.7</x:v>
      </x:c>
      <x:c r="K12" s="23" t="str">
        <x:v>上证指数</x:v>
      </x:c>
    </x:row>
    <x:row r="13">
      <x:c r="A13" s="23" t="n">
        <x:v>9</x:v>
      </x:c>
      <x:c r="B13" s="23" t="str">
        <x:v>周二</x:v>
      </x:c>
      <x:c r="C13" s="23" t="str">
        <x:v>1月14日</x:v>
      </x:c>
      <x:c r="D13" s="24" t="n">
        <x:v>3165.161</x:v>
      </x:c>
      <x:c r="E13" s="24" t="n">
        <x:v>3245.22</x:v>
      </x:c>
      <x:c r="F13" s="24" t="n">
        <x:v>3159.432</x:v>
      </x:c>
      <x:c r="G13" s="24" t="n">
        <x:v>3240.94</x:v>
      </x:c>
      <x:c r="H13" s="24" t="n">
        <x:v>80.2</x:v>
      </x:c>
      <x:c r="I13" s="25" t="n">
        <x:v>0.025368938750393477</x:v>
      </x:c>
      <x:c r="J13" s="29" t="n">
        <x:f>ROUND(E13-F13,1)</x:f>
        <x:v>85.8</x:v>
      </x:c>
      <x:c r="K13" s="23" t="str">
        <x:v>上证指数</x:v>
      </x:c>
    </x:row>
    <x:row r="14">
      <x:c r="A14" s="23" t="n">
        <x:v>10</x:v>
      </x:c>
      <x:c r="B14" s="23" t="str">
        <x:v>周三</x:v>
      </x:c>
      <x:c r="C14" s="23" t="str">
        <x:v>1月15日</x:v>
      </x:c>
      <x:c r="D14" s="24" t="n">
        <x:v>3234.715</x:v>
      </x:c>
      <x:c r="E14" s="24" t="n">
        <x:v>3245.904</x:v>
      </x:c>
      <x:c r="F14" s="24" t="n">
        <x:v>3222.236</x:v>
      </x:c>
      <x:c r="G14" s="24" t="n">
        <x:v>3227.117</x:v>
      </x:c>
      <x:c r="H14" s="24" t="n">
        <x:v>-13.8</x:v>
      </x:c>
      <x:c r="I14" s="25" t="n">
        <x:v>-0.0042651206131554265</x:v>
      </x:c>
      <x:c r="J14" s="24" t="n">
        <x:f>ROUND(E14-F14,1)</x:f>
        <x:v>23.7</x:v>
      </x:c>
      <x:c r="K14" s="23" t="str">
        <x:v>上证指数</x:v>
      </x:c>
    </x:row>
    <x:row r="15">
      <x:c r="A15" s="23" t="n">
        <x:v>11</x:v>
      </x:c>
      <x:c r="B15" s="23" t="str">
        <x:v>周四</x:v>
      </x:c>
      <x:c r="C15" s="23" t="str">
        <x:v>1月16日</x:v>
      </x:c>
      <x:c r="D15" s="24" t="n">
        <x:v>3239.026</x:v>
      </x:c>
      <x:c r="E15" s="24" t="n">
        <x:v>3265.282</x:v>
      </x:c>
      <x:c r="F15" s="24" t="n">
        <x:v>3217.097</x:v>
      </x:c>
      <x:c r="G15" s="24" t="n">
        <x:v>3236.032</x:v>
      </x:c>
      <x:c r="H15" s="24" t="n">
        <x:v>8.9</x:v>
      </x:c>
      <x:c r="I15" s="25" t="n">
        <x:v>0.002762527667884429</x:v>
      </x:c>
      <x:c r="J15" s="24" t="n">
        <x:f>ROUND(E15-F15,1)</x:f>
        <x:v>48.2</x:v>
      </x:c>
      <x:c r="K15" s="23" t="str">
        <x:v>上证指数</x:v>
      </x:c>
    </x:row>
    <x:row r="16">
      <x:c r="A16" s="33" t="n">
        <x:v>12</x:v>
      </x:c>
      <x:c r="B16" s="33" t="str">
        <x:v>周五</x:v>
      </x:c>
      <x:c r="C16" s="33" t="str">
        <x:v>1月17日</x:v>
      </x:c>
      <x:c r="D16" s="34" t="n">
        <x:v>3226.762</x:v>
      </x:c>
      <x:c r="E16" s="34" t="n">
        <x:v>3256.507</x:v>
      </x:c>
      <x:c r="F16" s="34" t="n">
        <x:v>3219.773</x:v>
      </x:c>
      <x:c r="G16" s="34" t="n">
        <x:v>3241.821</x:v>
      </x:c>
      <x:c r="H16" s="34" t="n">
        <x:v>5.8</x:v>
      </x:c>
      <x:c r="I16" s="35" t="n">
        <x:v>0.0017889192690305755</x:v>
      </x:c>
      <x:c r="J16" s="34" t="n">
        <x:f>ROUND(E16-F16,1)</x:f>
        <x:v>36.7</x:v>
      </x:c>
      <x:c r="K16" s="33" t="str">
        <x:v>上证指数</x:v>
      </x:c>
    </x:row>
    <x:row r="17">
      <x:c r="A17" s="23" t="n">
        <x:v>13</x:v>
      </x:c>
      <x:c r="B17" s="23" t="str">
        <x:v>周一</x:v>
      </x:c>
      <x:c r="C17" s="23" t="str">
        <x:v>1月20日</x:v>
      </x:c>
      <x:c r="D17" s="24" t="n">
        <x:v>3256.149</x:v>
      </x:c>
      <x:c r="E17" s="24" t="n">
        <x:v>3268.263</x:v>
      </x:c>
      <x:c r="F17" s="24" t="n">
        <x:v>3238.121</x:v>
      </x:c>
      <x:c r="G17" s="24" t="n">
        <x:v>3244.378</x:v>
      </x:c>
      <x:c r="H17" s="24" t="n">
        <x:v>2.6</x:v>
      </x:c>
      <x:c r="I17" s="25" t="n">
        <x:v>0.0007887542217785981</x:v>
      </x:c>
      <x:c r="J17" s="24" t="n">
        <x:f>ROUND(E17-F17,1)</x:f>
        <x:v>30.1</x:v>
      </x:c>
      <x:c r="K17" s="23" t="str">
        <x:v>上证指数</x:v>
      </x:c>
    </x:row>
    <x:row r="18">
      <x:c r="A18" s="23" t="n">
        <x:v>14</x:v>
      </x:c>
      <x:c r="B18" s="23" t="str">
        <x:v>周二</x:v>
      </x:c>
      <x:c r="C18" s="23" t="str">
        <x:v>1月21日</x:v>
      </x:c>
      <x:c r="D18" s="24" t="n">
        <x:v>3256.833</x:v>
      </x:c>
      <x:c r="E18" s="24" t="n">
        <x:v>3258.61</x:v>
      </x:c>
      <x:c r="F18" s="24" t="n">
        <x:v>3229.069</x:v>
      </x:c>
      <x:c r="G18" s="24" t="n">
        <x:v>3242.623</x:v>
      </x:c>
      <x:c r="H18" s="24" t="n">
        <x:v>-1.8</x:v>
      </x:c>
      <x:c r="I18" s="25" t="n">
        <x:v>-0.0005409357356017663</x:v>
      </x:c>
      <x:c r="J18" s="24" t="n">
        <x:f>ROUND(E18-F18,1)</x:f>
        <x:v>29.5</x:v>
      </x:c>
      <x:c r="K18" s="23" t="str">
        <x:v>上证指数</x:v>
      </x:c>
    </x:row>
    <x:row r="19">
      <x:c r="A19" s="23" t="n">
        <x:v>15</x:v>
      </x:c>
      <x:c r="B19" s="23" t="str">
        <x:v>周三</x:v>
      </x:c>
      <x:c r="C19" s="23" t="str">
        <x:v>1月22日</x:v>
      </x:c>
      <x:c r="D19" s="24" t="n">
        <x:v>3235.493</x:v>
      </x:c>
      <x:c r="E19" s="24" t="n">
        <x:v>3235.501</x:v>
      </x:c>
      <x:c r="F19" s="24" t="n">
        <x:v>3203.38</x:v>
      </x:c>
      <x:c r="G19" s="24" t="n">
        <x:v>3213.624</x:v>
      </x:c>
      <x:c r="H19" s="24" t="n">
        <x:v>-29</x:v>
      </x:c>
      <x:c r="I19" s="25" t="n">
        <x:v>-0.008943068620681505</x:v>
      </x:c>
      <x:c r="J19" s="24" t="n">
        <x:f>ROUND(E19-F19,1)</x:f>
        <x:v>32.1</x:v>
      </x:c>
      <x:c r="K19" s="23" t="str">
        <x:v>上证指数</x:v>
      </x:c>
    </x:row>
    <x:row r="20">
      <x:c r="A20" s="23" t="n">
        <x:v>16</x:v>
      </x:c>
      <x:c r="B20" s="23" t="str">
        <x:v>周四</x:v>
      </x:c>
      <x:c r="C20" s="23" t="str">
        <x:v>1月23日</x:v>
      </x:c>
      <x:c r="D20" s="24" t="n">
        <x:v>3237.599</x:v>
      </x:c>
      <x:c r="E20" s="24" t="n">
        <x:v>3273.52</x:v>
      </x:c>
      <x:c r="F20" s="24" t="n">
        <x:v>3229.572</x:v>
      </x:c>
      <x:c r="G20" s="24" t="n">
        <x:v>3230.164</x:v>
      </x:c>
      <x:c r="H20" s="24" t="n">
        <x:v>16.5</x:v>
      </x:c>
      <x:c r="I20" s="25" t="n">
        <x:v>0.005146837340024968</x:v>
      </x:c>
      <x:c r="J20" s="24" t="n">
        <x:f>ROUND(E20-F20,1)</x:f>
        <x:v>43.9</x:v>
      </x:c>
      <x:c r="K20" s="23" t="str">
        <x:v>上证指数</x:v>
      </x:c>
    </x:row>
    <x:row r="21">
      <x:c r="A21" s="23" t="n">
        <x:v>17</x:v>
      </x:c>
      <x:c r="B21" s="23" t="str">
        <x:v>周五</x:v>
      </x:c>
      <x:c r="C21" s="23" t="str">
        <x:v>1月24日</x:v>
      </x:c>
      <x:c r="D21" s="24" t="n">
        <x:v>3222.877</x:v>
      </x:c>
      <x:c r="E21" s="24" t="n">
        <x:v>3260.011</x:v>
      </x:c>
      <x:c r="F21" s="24" t="n">
        <x:v>3221.712</x:v>
      </x:c>
      <x:c r="G21" s="24" t="n">
        <x:v>3252.626</x:v>
      </x:c>
      <x:c r="H21" s="24" t="n">
        <x:v>22.5</x:v>
      </x:c>
      <x:c r="I21" s="25" t="n">
        <x:v>0.006953826493020232</x:v>
      </x:c>
      <x:c r="J21" s="24" t="n">
        <x:f>ROUND(E21-F21,1)</x:f>
        <x:v>38.3</x:v>
      </x:c>
      <x:c r="K21" s="23" t="str">
        <x:v>上证指数</x:v>
      </x:c>
    </x:row>
    <x:row r="22">
      <x:c r="A22" s="23" t="n">
        <x:v>18</x:v>
      </x:c>
      <x:c r="B22" s="23" t="str">
        <x:v>周一</x:v>
      </x:c>
      <x:c r="C22" s="23" t="str">
        <x:v>1月27日</x:v>
      </x:c>
      <x:c r="D22" s="24" t="n">
        <x:v>3256.614</x:v>
      </x:c>
      <x:c r="E22" s="24" t="n">
        <x:v>3274.392</x:v>
      </x:c>
      <x:c r="F22" s="24" t="n">
        <x:v>3250.601</x:v>
      </x:c>
      <x:c r="G22" s="24" t="n">
        <x:v>3250.601</x:v>
      </x:c>
      <x:c r="H22" s="24" t="n">
        <x:v>-2</x:v>
      </x:c>
      <x:c r="I22" s="25" t="n">
        <x:v>-0.0006225738833791628</x:v>
      </x:c>
      <x:c r="J22" s="24" t="n">
        <x:f>ROUND(E22-F22,1)</x:f>
        <x:v>23.8</x:v>
      </x:c>
      <x:c r="K22" s="23" t="str">
        <x:v>上证指数</x:v>
      </x:c>
    </x:row>
    <x:row r="23">
      <x:c r="A23" s="38" t="str">
        <x:v>合计</x:v>
      </x:c>
      <x:c r="B23" s="37" t="n">
        <x:v>18</x:v>
      </x:c>
      <x:c r="C23" s="37"/>
      <x:c r="D23" s="37"/>
      <x:c r="E23" s="37"/>
      <x:c r="F23" s="37"/>
      <x:c r="G23" s="37"/>
      <x:c r="H23" s="37"/>
      <x:c r="I23" s="37"/>
      <x:c r="J23" s="39" t="n">
        <x:f>ROUND(SUM(J5:J22),1)</x:f>
        <x:v>820.9</x:v>
      </x:c>
      <x:c r="K23" s="37"/>
    </x:row>
    <x:row r="24">
      <x:c r="A24" s="38" t="str">
        <x:v>均值</x:v>
      </x:c>
      <x:c r="B24" s="37"/>
      <x:c r="C24" s="37"/>
      <x:c r="D24" s="37"/>
      <x:c r="E24" s="37"/>
      <x:c r="F24" s="37"/>
      <x:c r="G24" s="37"/>
      <x:c r="H24" s="37"/>
      <x:c r="I24" s="37"/>
      <x:c r="J24" s="41" t="n">
        <x:f>ROUND(IFERROR(AVERAGE(J5:J22),0),1)</x:f>
        <x:v>45.6</x:v>
      </x:c>
      <x:c r="K24" s="37"/>
    </x:row>
    <x:row r="26">
      <x:c r="A26" s="17" t="str">
        <x:v>2月</x:v>
      </x:c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</x:row>
    <x:row r="27">
      <x:c r="A27" s="20" t="str">
        <x:v>序号</x:v>
      </x:c>
      <x:c r="B27" s="20" t="str">
        <x:v>星期</x:v>
      </x:c>
      <x:c r="C27" s="20" t="str">
        <x:v>日期</x:v>
      </x:c>
      <x:c r="D27" s="20" t="str">
        <x:v>开盘</x:v>
      </x:c>
      <x:c r="E27" s="20" t="str">
        <x:v>高点</x:v>
      </x:c>
      <x:c r="F27" s="20" t="str">
        <x:v>低点</x:v>
      </x:c>
      <x:c r="G27" s="20" t="str">
        <x:v>收盘</x:v>
      </x:c>
      <x:c r="H27" s="20" t="str">
        <x:v>涨跌点数</x:v>
      </x:c>
      <x:c r="I27" s="20" t="str">
        <x:v>涨幅</x:v>
      </x:c>
      <x:c r="J27" s="20" t="str">
        <x:v>振幅</x:v>
      </x:c>
      <x:c r="K27" s="20" t="str">
        <x:v>标的</x:v>
      </x:c>
    </x:row>
    <x:row r="28">
      <x:c r="A28" s="23" t="n">
        <x:v>1</x:v>
      </x:c>
      <x:c r="B28" s="23" t="str">
        <x:v>周三</x:v>
      </x:c>
      <x:c r="C28" s="23" t="str">
        <x:v>2月5日</x:v>
      </x:c>
      <x:c r="D28" s="24" t="n">
        <x:v>3270.16</x:v>
      </x:c>
      <x:c r="E28" s="24" t="n">
        <x:v>3271.022</x:v>
      </x:c>
      <x:c r="F28" s="24" t="n">
        <x:v>3220.279</x:v>
      </x:c>
      <x:c r="G28" s="24" t="n">
        <x:v>3229.488</x:v>
      </x:c>
      <x:c r="H28" s="24" t="n">
        <x:v>-21.1</x:v>
      </x:c>
      <x:c r="I28" s="25" t="n">
        <x:v>-0.006495106597210865</x:v>
      </x:c>
      <x:c r="J28" s="29" t="n">
        <x:f>ROUND(E28-F28,1)</x:f>
        <x:v>50.7</x:v>
      </x:c>
      <x:c r="K28" s="23" t="str">
        <x:v>上证指数</x:v>
      </x:c>
    </x:row>
    <x:row r="29">
      <x:c r="A29" s="23" t="n">
        <x:v>2</x:v>
      </x:c>
      <x:c r="B29" s="23" t="str">
        <x:v>周四</x:v>
      </x:c>
      <x:c r="C29" s="23" t="str">
        <x:v>2月6日</x:v>
      </x:c>
      <x:c r="D29" s="24" t="n">
        <x:v>3226.575</x:v>
      </x:c>
      <x:c r="E29" s="24" t="n">
        <x:v>3271.427</x:v>
      </x:c>
      <x:c r="F29" s="24" t="n">
        <x:v>3225.846</x:v>
      </x:c>
      <x:c r="G29" s="24" t="n">
        <x:v>3270.659</x:v>
      </x:c>
      <x:c r="H29" s="24" t="n">
        <x:v>41.2</x:v>
      </x:c>
      <x:c r="I29" s="25" t="n">
        <x:v>0.01274846043707245</x:v>
      </x:c>
      <x:c r="J29" s="24" t="n">
        <x:f>ROUND(E29-F29,1)</x:f>
        <x:v>45.6</x:v>
      </x:c>
      <x:c r="K29" s="23" t="str">
        <x:v>上证指数</x:v>
      </x:c>
    </x:row>
    <x:row r="30">
      <x:c r="A30" s="23" t="n">
        <x:v>3</x:v>
      </x:c>
      <x:c r="B30" s="23" t="str">
        <x:v>周五</x:v>
      </x:c>
      <x:c r="C30" s="23" t="str">
        <x:v>2月7日</x:v>
      </x:c>
      <x:c r="D30" s="24" t="n">
        <x:v>3269.227</x:v>
      </x:c>
      <x:c r="E30" s="24" t="n">
        <x:v>3324.428</x:v>
      </x:c>
      <x:c r="F30" s="24" t="n">
        <x:v>3262.509</x:v>
      </x:c>
      <x:c r="G30" s="24" t="n">
        <x:v>3303.667</x:v>
      </x:c>
      <x:c r="H30" s="24" t="n">
        <x:v>33</x:v>
      </x:c>
      <x:c r="I30" s="25" t="n">
        <x:v>0.010092155739867659</x:v>
      </x:c>
      <x:c r="J30" s="29" t="n">
        <x:f>ROUND(E30-F30,1)</x:f>
        <x:v>61.9</x:v>
      </x:c>
      <x:c r="K30" s="23" t="str">
        <x:v>上证指数</x:v>
      </x:c>
    </x:row>
    <x:row r="31">
      <x:c r="A31" s="23" t="n">
        <x:v>4</x:v>
      </x:c>
      <x:c r="B31" s="23" t="str">
        <x:v>周一</x:v>
      </x:c>
      <x:c r="C31" s="23" t="str">
        <x:v>2月10日</x:v>
      </x:c>
      <x:c r="D31" s="24" t="n">
        <x:v>3308.04</x:v>
      </x:c>
      <x:c r="E31" s="24" t="n">
        <x:v>3325.356</x:v>
      </x:c>
      <x:c r="F31" s="24" t="n">
        <x:v>3299.243</x:v>
      </x:c>
      <x:c r="G31" s="24" t="n">
        <x:v>3322.17</x:v>
      </x:c>
      <x:c r="H31" s="24" t="n">
        <x:v>18.5</x:v>
      </x:c>
      <x:c r="I31" s="25" t="n">
        <x:v>0.0056007460800377995</x:v>
      </x:c>
      <x:c r="J31" s="24" t="n">
        <x:f>ROUND(E31-F31,1)</x:f>
        <x:v>26.1</x:v>
      </x:c>
      <x:c r="K31" s="23" t="str">
        <x:v>上证指数</x:v>
      </x:c>
    </x:row>
    <x:row r="32">
      <x:c r="A32" s="23" t="n">
        <x:v>5</x:v>
      </x:c>
      <x:c r="B32" s="23" t="str">
        <x:v>周二</x:v>
      </x:c>
      <x:c r="C32" s="23" t="str">
        <x:v>2月11日</x:v>
      </x:c>
      <x:c r="D32" s="24" t="n">
        <x:v>3323.669</x:v>
      </x:c>
      <x:c r="E32" s="24" t="n">
        <x:v>3324.173</x:v>
      </x:c>
      <x:c r="F32" s="24" t="n">
        <x:v>3304.444</x:v>
      </x:c>
      <x:c r="G32" s="24" t="n">
        <x:v>3318.057</x:v>
      </x:c>
      <x:c r="H32" s="24" t="n">
        <x:v>-4.1</x:v>
      </x:c>
      <x:c r="I32" s="25" t="n">
        <x:v>-0.001238046216780031</x:v>
      </x:c>
      <x:c r="J32" s="24" t="n">
        <x:f>ROUND(E32-F32,1)</x:f>
        <x:v>19.7</x:v>
      </x:c>
      <x:c r="K32" s="23" t="str">
        <x:v>上证指数</x:v>
      </x:c>
    </x:row>
    <x:row r="33">
      <x:c r="A33" s="23" t="n">
        <x:v>6</x:v>
      </x:c>
      <x:c r="B33" s="23" t="str">
        <x:v>周三</x:v>
      </x:c>
      <x:c r="C33" s="23" t="str">
        <x:v>2月12日</x:v>
      </x:c>
      <x:c r="D33" s="24" t="n">
        <x:v>3312.257</x:v>
      </x:c>
      <x:c r="E33" s="24" t="n">
        <x:v>3346.385</x:v>
      </x:c>
      <x:c r="F33" s="24" t="n">
        <x:v>3310.39</x:v>
      </x:c>
      <x:c r="G33" s="24" t="n">
        <x:v>3346.385</x:v>
      </x:c>
      <x:c r="H33" s="24" t="n">
        <x:v>28.3</x:v>
      </x:c>
      <x:c r="I33" s="25" t="n">
        <x:v>0.008537526630796322</x:v>
      </x:c>
      <x:c r="J33" s="24" t="n">
        <x:f>ROUND(E33-F33,1)</x:f>
        <x:v>36</x:v>
      </x:c>
      <x:c r="K33" s="23" t="str">
        <x:v>上证指数</x:v>
      </x:c>
    </x:row>
    <x:row r="34">
      <x:c r="A34" s="23" t="n">
        <x:v>7</x:v>
      </x:c>
      <x:c r="B34" s="23" t="str">
        <x:v>周四</x:v>
      </x:c>
      <x:c r="C34" s="23" t="str">
        <x:v>2月13日</x:v>
      </x:c>
      <x:c r="D34" s="24" t="n">
        <x:v>3343.235</x:v>
      </x:c>
      <x:c r="E34" s="24" t="n">
        <x:v>3359.181</x:v>
      </x:c>
      <x:c r="F34" s="24" t="n">
        <x:v>3332.483</x:v>
      </x:c>
      <x:c r="G34" s="24" t="n">
        <x:v>3332.483</x:v>
      </x:c>
      <x:c r="H34" s="24" t="n">
        <x:v>-13.9</x:v>
      </x:c>
      <x:c r="I34" s="25" t="n">
        <x:v>-0.004154333706372748</x:v>
      </x:c>
      <x:c r="J34" s="24" t="n">
        <x:f>ROUND(E34-F34,1)</x:f>
        <x:v>26.7</x:v>
      </x:c>
      <x:c r="K34" s="23" t="str">
        <x:v>上证指数</x:v>
      </x:c>
    </x:row>
    <x:row r="35">
      <x:c r="A35" s="23" t="n">
        <x:v>8</x:v>
      </x:c>
      <x:c r="B35" s="23" t="str">
        <x:v>周五</x:v>
      </x:c>
      <x:c r="C35" s="23" t="str">
        <x:v>2月14日</x:v>
      </x:c>
      <x:c r="D35" s="24" t="n">
        <x:v>3328.483</x:v>
      </x:c>
      <x:c r="E35" s="24" t="n">
        <x:v>3349.084</x:v>
      </x:c>
      <x:c r="F35" s="24" t="n">
        <x:v>3322.529</x:v>
      </x:c>
      <x:c r="G35" s="24" t="n">
        <x:v>3346.724</x:v>
      </x:c>
      <x:c r="H35" s="24" t="n">
        <x:v>14.2</x:v>
      </x:c>
      <x:c r="I35" s="25" t="n">
        <x:v>0.004273390141825262</x:v>
      </x:c>
      <x:c r="J35" s="24" t="n">
        <x:f>ROUND(E35-F35,1)</x:f>
        <x:v>26.6</x:v>
      </x:c>
      <x:c r="K35" s="23" t="str">
        <x:v>上证指数</x:v>
      </x:c>
    </x:row>
    <x:row r="36">
      <x:c r="A36" s="23" t="n">
        <x:v>9</x:v>
      </x:c>
      <x:c r="B36" s="23" t="str">
        <x:v>周一</x:v>
      </x:c>
      <x:c r="C36" s="23" t="str">
        <x:v>2月17日</x:v>
      </x:c>
      <x:c r="D36" s="24" t="n">
        <x:v>3355.417</x:v>
      </x:c>
      <x:c r="E36" s="24" t="n">
        <x:v>3357.121</x:v>
      </x:c>
      <x:c r="F36" s="24" t="n">
        <x:v>3333.195</x:v>
      </x:c>
      <x:c r="G36" s="24" t="n">
        <x:v>3355.83</x:v>
      </x:c>
      <x:c r="H36" s="24" t="n">
        <x:v>9.1</x:v>
      </x:c>
      <x:c r="I36" s="25" t="n">
        <x:v>0.0027208697221521305</x:v>
      </x:c>
      <x:c r="J36" s="24" t="n">
        <x:f>ROUND(E36-F36,1)</x:f>
        <x:v>23.9</x:v>
      </x:c>
      <x:c r="K36" s="23" t="str">
        <x:v>上证指数</x:v>
      </x:c>
    </x:row>
    <x:row r="37">
      <x:c r="A37" s="23" t="n">
        <x:v>10</x:v>
      </x:c>
      <x:c r="B37" s="23" t="str">
        <x:v>周二</x:v>
      </x:c>
      <x:c r="C37" s="23" t="str">
        <x:v>2月18日</x:v>
      </x:c>
      <x:c r="D37" s="24" t="n">
        <x:v>3348.983</x:v>
      </x:c>
      <x:c r="E37" s="24" t="n">
        <x:v>3366.012</x:v>
      </x:c>
      <x:c r="F37" s="24" t="n">
        <x:v>3314.301</x:v>
      </x:c>
      <x:c r="G37" s="24" t="n">
        <x:v>3324.491</x:v>
      </x:c>
      <x:c r="H37" s="24" t="n">
        <x:v>-31.3</x:v>
      </x:c>
      <x:c r="I37" s="25" t="n">
        <x:v>-0.009338673293939226</x:v>
      </x:c>
      <x:c r="J37" s="29" t="n">
        <x:f>ROUND(E37-F37,1)</x:f>
        <x:v>51.7</x:v>
      </x:c>
      <x:c r="K37" s="23" t="str">
        <x:v>上证指数</x:v>
      </x:c>
    </x:row>
    <x:row r="38">
      <x:c r="A38" s="23" t="n">
        <x:v>11</x:v>
      </x:c>
      <x:c r="B38" s="23" t="str">
        <x:v>周三</x:v>
      </x:c>
      <x:c r="C38" s="23" t="str">
        <x:v>2月19日</x:v>
      </x:c>
      <x:c r="D38" s="24" t="n">
        <x:v>3320.78</x:v>
      </x:c>
      <x:c r="E38" s="24" t="n">
        <x:v>3352.087</x:v>
      </x:c>
      <x:c r="F38" s="24" t="n">
        <x:v>3320.581</x:v>
      </x:c>
      <x:c r="G38" s="24" t="n">
        <x:v>3351.539</x:v>
      </x:c>
      <x:c r="H38" s="24" t="n">
        <x:v>27</x:v>
      </x:c>
      <x:c r="I38" s="25" t="n">
        <x:v>0.008135982320301105</x:v>
      </x:c>
      <x:c r="J38" s="24" t="n">
        <x:f>ROUND(E38-F38,1)</x:f>
        <x:v>31.5</x:v>
      </x:c>
      <x:c r="K38" s="23" t="str">
        <x:v>上证指数</x:v>
      </x:c>
    </x:row>
    <x:row r="39">
      <x:c r="A39" s="23" t="n">
        <x:v>12</x:v>
      </x:c>
      <x:c r="B39" s="23" t="str">
        <x:v>周四</x:v>
      </x:c>
      <x:c r="C39" s="23" t="str">
        <x:v>2月20日</x:v>
      </x:c>
      <x:c r="D39" s="24" t="n">
        <x:v>3347.589</x:v>
      </x:c>
      <x:c r="E39" s="24" t="n">
        <x:v>3355.557</x:v>
      </x:c>
      <x:c r="F39" s="24" t="n">
        <x:v>3338.034</x:v>
      </x:c>
      <x:c r="G39" s="24" t="n">
        <x:v>3350.783</x:v>
      </x:c>
      <x:c r="H39" s="24" t="n">
        <x:v>-0.8</x:v>
      </x:c>
      <x:c r="I39" s="25" t="n">
        <x:v>-0.00022556801517159553</x:v>
      </x:c>
      <x:c r="J39" s="24" t="n">
        <x:f>ROUND(E39-F39,1)</x:f>
        <x:v>17.5</x:v>
      </x:c>
      <x:c r="K39" s="23" t="str">
        <x:v>上证指数</x:v>
      </x:c>
    </x:row>
    <x:row r="40">
      <x:c r="A40" s="33" t="n">
        <x:v>13</x:v>
      </x:c>
      <x:c r="B40" s="33" t="str">
        <x:v>周五</x:v>
      </x:c>
      <x:c r="C40" s="33" t="str">
        <x:v>2月21日</x:v>
      </x:c>
      <x:c r="D40" s="34" t="n">
        <x:v>3356.695</x:v>
      </x:c>
      <x:c r="E40" s="34" t="n">
        <x:v>3381.058</x:v>
      </x:c>
      <x:c r="F40" s="34" t="n">
        <x:v>3339.026</x:v>
      </x:c>
      <x:c r="G40" s="34" t="n">
        <x:v>3379.113</x:v>
      </x:c>
      <x:c r="H40" s="34" t="n">
        <x:v>28.3</x:v>
      </x:c>
      <x:c r="I40" s="35" t="n">
        <x:v>0.00845474028010762</x:v>
      </x:c>
      <x:c r="J40" s="34" t="n">
        <x:f>ROUND(E40-F40,1)</x:f>
        <x:v>42</x:v>
      </x:c>
      <x:c r="K40" s="33" t="str">
        <x:v>上证指数</x:v>
      </x:c>
    </x:row>
    <x:row r="41">
      <x:c r="A41" s="23" t="n">
        <x:v>14</x:v>
      </x:c>
      <x:c r="B41" s="23" t="str">
        <x:v>周一</x:v>
      </x:c>
      <x:c r="C41" s="23" t="str">
        <x:v>2月24日</x:v>
      </x:c>
      <x:c r="D41" s="24" t="n">
        <x:v>3374.081</x:v>
      </x:c>
      <x:c r="E41" s="24" t="n">
        <x:v>3384.811</x:v>
      </x:c>
      <x:c r="F41" s="24" t="n">
        <x:v>3355.869</x:v>
      </x:c>
      <x:c r="G41" s="24" t="n">
        <x:v>3373.028</x:v>
      </x:c>
      <x:c r="H41" s="24" t="n">
        <x:v>-6.1</x:v>
      </x:c>
      <x:c r="I41" s="25" t="n">
        <x:v>-0.0018007684265072266</x:v>
      </x:c>
      <x:c r="J41" s="24" t="n">
        <x:f>ROUND(E41-F41,1)</x:f>
        <x:v>28.9</x:v>
      </x:c>
      <x:c r="K41" s="23" t="str">
        <x:v>上证指数</x:v>
      </x:c>
    </x:row>
    <x:row r="42">
      <x:c r="A42" s="23" t="n">
        <x:v>15</x:v>
      </x:c>
      <x:c r="B42" s="23" t="str">
        <x:v>周二</x:v>
      </x:c>
      <x:c r="C42" s="23" t="str">
        <x:v>2月25日</x:v>
      </x:c>
      <x:c r="D42" s="24" t="n">
        <x:v>3345.653</x:v>
      </x:c>
      <x:c r="E42" s="24" t="n">
        <x:v>3369.558</x:v>
      </x:c>
      <x:c r="F42" s="24" t="n">
        <x:v>3337.845</x:v>
      </x:c>
      <x:c r="G42" s="24" t="n">
        <x:v>3346.04</x:v>
      </x:c>
      <x:c r="H42" s="24" t="n">
        <x:v>-27</x:v>
      </x:c>
      <x:c r="I42" s="25" t="n">
        <x:v>-0.008001119468916351</x:v>
      </x:c>
      <x:c r="J42" s="24" t="n">
        <x:f>ROUND(E42-F42,1)</x:f>
        <x:v>31.7</x:v>
      </x:c>
      <x:c r="K42" s="23" t="str">
        <x:v>上证指数</x:v>
      </x:c>
    </x:row>
    <x:row r="43">
      <x:c r="A43" s="23" t="n">
        <x:v>16</x:v>
      </x:c>
      <x:c r="B43" s="23" t="str">
        <x:v>周三</x:v>
      </x:c>
      <x:c r="C43" s="23" t="str">
        <x:v>2月26日</x:v>
      </x:c>
      <x:c r="D43" s="24" t="n">
        <x:v>3351.209</x:v>
      </x:c>
      <x:c r="E43" s="24" t="n">
        <x:v>3380.214</x:v>
      </x:c>
      <x:c r="F43" s="24" t="n">
        <x:v>3351.209</x:v>
      </x:c>
      <x:c r="G43" s="24" t="n">
        <x:v>3380.214</x:v>
      </x:c>
      <x:c r="H43" s="24" t="n">
        <x:v>34.2</x:v>
      </x:c>
      <x:c r="I43" s="25" t="n">
        <x:v>0.010213267026096595</x:v>
      </x:c>
      <x:c r="J43" s="24" t="n">
        <x:f>ROUND(E43-F43,1)</x:f>
        <x:v>29</x:v>
      </x:c>
      <x:c r="K43" s="23" t="str">
        <x:v>上证指数</x:v>
      </x:c>
    </x:row>
    <x:row r="44">
      <x:c r="A44" s="23" t="n">
        <x:v>17</x:v>
      </x:c>
      <x:c r="B44" s="23" t="str">
        <x:v>周四</x:v>
      </x:c>
      <x:c r="C44" s="23" t="str">
        <x:v>2月27日</x:v>
      </x:c>
      <x:c r="D44" s="24" t="n">
        <x:v>3378.449</x:v>
      </x:c>
      <x:c r="E44" s="24" t="n">
        <x:v>3388.781</x:v>
      </x:c>
      <x:c r="F44" s="24" t="n">
        <x:v>3353.571</x:v>
      </x:c>
      <x:c r="G44" s="24" t="n">
        <x:v>3388.062</x:v>
      </x:c>
      <x:c r="H44" s="24" t="n">
        <x:v>7.8</x:v>
      </x:c>
      <x:c r="I44" s="25" t="n">
        <x:v>0.0023217464929734533</x:v>
      </x:c>
      <x:c r="J44" s="24" t="n">
        <x:f>ROUND(E44-F44,1)</x:f>
        <x:v>35.2</x:v>
      </x:c>
      <x:c r="K44" s="23" t="str">
        <x:v>上证指数</x:v>
      </x:c>
    </x:row>
    <x:row r="45">
      <x:c r="A45" s="23" t="n">
        <x:v>18</x:v>
      </x:c>
      <x:c r="B45" s="23" t="str">
        <x:v>周五</x:v>
      </x:c>
      <x:c r="C45" s="23" t="str">
        <x:v>2月28日</x:v>
      </x:c>
      <x:c r="D45" s="24" t="n">
        <x:v>3374.664</x:v>
      </x:c>
      <x:c r="E45" s="24" t="n">
        <x:v>3383.191</x:v>
      </x:c>
      <x:c r="F45" s="24" t="n">
        <x:v>3318.716</x:v>
      </x:c>
      <x:c r="G45" s="24" t="n">
        <x:v>3320.897</x:v>
      </x:c>
      <x:c r="H45" s="24" t="n">
        <x:v>-67.2</x:v>
      </x:c>
      <x:c r="I45" s="25" t="n">
        <x:v>-0.01982401738811157</x:v>
      </x:c>
      <x:c r="J45" s="29" t="n">
        <x:f>ROUND(E45-F45,1)</x:f>
        <x:v>64.5</x:v>
      </x:c>
      <x:c r="K45" s="23" t="str">
        <x:v>上证指数</x:v>
      </x:c>
    </x:row>
    <x:row r="46">
      <x:c r="A46" s="38" t="str">
        <x:v>合计</x:v>
      </x:c>
      <x:c r="B46" s="37" t="n">
        <x:v>18</x:v>
      </x:c>
      <x:c r="C46" s="37"/>
      <x:c r="D46" s="37"/>
      <x:c r="E46" s="37"/>
      <x:c r="F46" s="37"/>
      <x:c r="G46" s="37"/>
      <x:c r="H46" s="37"/>
      <x:c r="I46" s="37"/>
      <x:c r="J46" s="39" t="n">
        <x:f>ROUND(SUM(J28:J45),1)</x:f>
        <x:v>649.2</x:v>
      </x:c>
      <x:c r="K46" s="37"/>
    </x:row>
    <x:row r="47">
      <x:c r="A47" s="38" t="str">
        <x:v>均值</x:v>
      </x:c>
      <x:c r="B47" s="37"/>
      <x:c r="C47" s="37"/>
      <x:c r="D47" s="37"/>
      <x:c r="E47" s="37"/>
      <x:c r="F47" s="37"/>
      <x:c r="G47" s="37"/>
      <x:c r="H47" s="37"/>
      <x:c r="I47" s="37"/>
      <x:c r="J47" s="41" t="n">
        <x:f>ROUND(IFERROR(AVERAGE(J28:J45),0),1)</x:f>
        <x:v>36.1</x:v>
      </x:c>
      <x:c r="K47" s="37"/>
    </x:row>
    <x:row r="49">
      <x:c r="A49" s="17" t="str">
        <x:v>3月</x:v>
      </x:c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</x:row>
    <x:row r="50">
      <x:c r="A50" s="20" t="str">
        <x:v>序号</x:v>
      </x:c>
      <x:c r="B50" s="20" t="str">
        <x:v>星期</x:v>
      </x:c>
      <x:c r="C50" s="20" t="str">
        <x:v>日期</x:v>
      </x:c>
      <x:c r="D50" s="20" t="str">
        <x:v>开盘</x:v>
      </x:c>
      <x:c r="E50" s="20" t="str">
        <x:v>高点</x:v>
      </x:c>
      <x:c r="F50" s="20" t="str">
        <x:v>低点</x:v>
      </x:c>
      <x:c r="G50" s="20" t="str">
        <x:v>收盘</x:v>
      </x:c>
      <x:c r="H50" s="20" t="str">
        <x:v>涨跌点数</x:v>
      </x:c>
      <x:c r="I50" s="20" t="str">
        <x:v>涨幅</x:v>
      </x:c>
      <x:c r="J50" s="20" t="str">
        <x:v>振幅</x:v>
      </x:c>
      <x:c r="K50" s="20" t="str">
        <x:v>标的</x:v>
      </x:c>
    </x:row>
    <x:row r="51">
      <x:c r="A51" s="23" t="n">
        <x:v>1</x:v>
      </x:c>
      <x:c r="B51" s="23" t="str">
        <x:v>周一</x:v>
      </x:c>
      <x:c r="C51" s="23" t="str">
        <x:v>3月3日</x:v>
      </x:c>
      <x:c r="D51" s="24" t="n">
        <x:v>3328.396</x:v>
      </x:c>
      <x:c r="E51" s="24" t="n">
        <x:v>3349.017</x:v>
      </x:c>
      <x:c r="F51" s="24" t="n">
        <x:v>3304.593</x:v>
      </x:c>
      <x:c r="G51" s="24" t="n">
        <x:v>3316.925</x:v>
      </x:c>
      <x:c r="H51" s="24" t="n">
        <x:v>-4</x:v>
      </x:c>
      <x:c r="I51" s="25" t="n">
        <x:v>-0.0011960623891676958</x:v>
      </x:c>
      <x:c r="J51" s="24" t="n">
        <x:f>ROUND(E51-F51,1)</x:f>
        <x:v>44.4</x:v>
      </x:c>
      <x:c r="K51" s="23" t="str">
        <x:v>上证指数</x:v>
      </x:c>
    </x:row>
    <x:row r="52">
      <x:c r="A52" s="23" t="n">
        <x:v>2</x:v>
      </x:c>
      <x:c r="B52" s="23" t="str">
        <x:v>周二</x:v>
      </x:c>
      <x:c r="C52" s="23" t="str">
        <x:v>3月4日</x:v>
      </x:c>
      <x:c r="D52" s="24" t="n">
        <x:v>3300.498</x:v>
      </x:c>
      <x:c r="E52" s="24" t="n">
        <x:v>3327.824</x:v>
      </x:c>
      <x:c r="F52" s="24" t="n">
        <x:v>3297.53</x:v>
      </x:c>
      <x:c r="G52" s="24" t="n">
        <x:v>3324.21</x:v>
      </x:c>
      <x:c r="H52" s="24" t="n">
        <x:v>7.3</x:v>
      </x:c>
      <x:c r="I52" s="25" t="n">
        <x:v>0.002196311342583801</x:v>
      </x:c>
      <x:c r="J52" s="24" t="n">
        <x:f>ROUND(E52-F52,1)</x:f>
        <x:v>30.3</x:v>
      </x:c>
      <x:c r="K52" s="23" t="str">
        <x:v>上证指数</x:v>
      </x:c>
    </x:row>
    <x:row r="53">
      <x:c r="A53" s="23" t="n">
        <x:v>3</x:v>
      </x:c>
      <x:c r="B53" s="23" t="str">
        <x:v>周三</x:v>
      </x:c>
      <x:c r="C53" s="23" t="str">
        <x:v>3月5日</x:v>
      </x:c>
      <x:c r="D53" s="24" t="n">
        <x:v>3324.696</x:v>
      </x:c>
      <x:c r="E53" s="24" t="n">
        <x:v>3342.714</x:v>
      </x:c>
      <x:c r="F53" s="24" t="n">
        <x:v>3314.148</x:v>
      </x:c>
      <x:c r="G53" s="24" t="n">
        <x:v>3341.965</x:v>
      </x:c>
      <x:c r="H53" s="24" t="n">
        <x:v>17.8</x:v>
      </x:c>
      <x:c r="I53" s="25" t="n">
        <x:v>0.0053411186417224865</x:v>
      </x:c>
      <x:c r="J53" s="24" t="n">
        <x:f>ROUND(E53-F53,1)</x:f>
        <x:v>28.6</x:v>
      </x:c>
      <x:c r="K53" s="23" t="str">
        <x:v>上证指数</x:v>
      </x:c>
    </x:row>
    <x:row r="54">
      <x:c r="A54" s="23" t="n">
        <x:v>4</x:v>
      </x:c>
      <x:c r="B54" s="23" t="str">
        <x:v>周四</x:v>
      </x:c>
      <x:c r="C54" s="23" t="str">
        <x:v>3月6日</x:v>
      </x:c>
      <x:c r="D54" s="24" t="n">
        <x:v>3353.57</x:v>
      </x:c>
      <x:c r="E54" s="24" t="n">
        <x:v>3387.054</x:v>
      </x:c>
      <x:c r="F54" s="24" t="n">
        <x:v>3348.684</x:v>
      </x:c>
      <x:c r="G54" s="24" t="n">
        <x:v>3381.098</x:v>
      </x:c>
      <x:c r="H54" s="24" t="n">
        <x:v>39.1</x:v>
      </x:c>
      <x:c r="I54" s="25" t="n">
        <x:v>0.011709578047645497</x:v>
      </x:c>
      <x:c r="J54" s="24" t="n">
        <x:f>ROUND(E54-F54,1)</x:f>
        <x:v>38.4</x:v>
      </x:c>
      <x:c r="K54" s="23" t="str">
        <x:v>上证指数</x:v>
      </x:c>
    </x:row>
    <x:row r="55">
      <x:c r="A55" s="23" t="n">
        <x:v>5</x:v>
      </x:c>
      <x:c r="B55" s="23" t="str">
        <x:v>周五</x:v>
      </x:c>
      <x:c r="C55" s="23" t="str">
        <x:v>3月7日</x:v>
      </x:c>
      <x:c r="D55" s="24" t="n">
        <x:v>3373.181</x:v>
      </x:c>
      <x:c r="E55" s="24" t="n">
        <x:v>3390.944</x:v>
      </x:c>
      <x:c r="F55" s="24" t="n">
        <x:v>3363.929</x:v>
      </x:c>
      <x:c r="G55" s="24" t="n">
        <x:v>3372.546</x:v>
      </x:c>
      <x:c r="H55" s="24" t="n">
        <x:v>-8.6</x:v>
      </x:c>
      <x:c r="I55" s="25" t="n">
        <x:v>-0.0025293558483072687</x:v>
      </x:c>
      <x:c r="J55" s="24" t="n">
        <x:f>ROUND(E55-F55,1)</x:f>
        <x:v>27</x:v>
      </x:c>
      <x:c r="K55" s="23" t="str">
        <x:v>上证指数</x:v>
      </x:c>
    </x:row>
    <x:row r="56">
      <x:c r="A56" s="23" t="n">
        <x:v>6</x:v>
      </x:c>
      <x:c r="B56" s="23" t="str">
        <x:v>周一</x:v>
      </x:c>
      <x:c r="C56" s="23" t="str">
        <x:v>3月10日</x:v>
      </x:c>
      <x:c r="D56" s="24" t="n">
        <x:v>3373.259</x:v>
      </x:c>
      <x:c r="E56" s="24" t="n">
        <x:v>3375.798</x:v>
      </x:c>
      <x:c r="F56" s="24" t="n">
        <x:v>3347.186</x:v>
      </x:c>
      <x:c r="G56" s="24" t="n">
        <x:v>3366.163</x:v>
      </x:c>
      <x:c r="H56" s="24" t="n">
        <x:v>-6.4</x:v>
      </x:c>
      <x:c r="I56" s="25" t="n">
        <x:v>-0.001892635415499111</x:v>
      </x:c>
      <x:c r="J56" s="24" t="n">
        <x:f>ROUND(E56-F56,1)</x:f>
        <x:v>28.6</x:v>
      </x:c>
      <x:c r="K56" s="23" t="str">
        <x:v>上证指数</x:v>
      </x:c>
    </x:row>
    <x:row r="57">
      <x:c r="A57" s="23" t="n">
        <x:v>7</x:v>
      </x:c>
      <x:c r="B57" s="23" t="str">
        <x:v>周二</x:v>
      </x:c>
      <x:c r="C57" s="23" t="str">
        <x:v>3月11日</x:v>
      </x:c>
      <x:c r="D57" s="24" t="n">
        <x:v>3335.439</x:v>
      </x:c>
      <x:c r="E57" s="24" t="n">
        <x:v>3379.829</x:v>
      </x:c>
      <x:c r="F57" s="24" t="n">
        <x:v>3334.831</x:v>
      </x:c>
      <x:c r="G57" s="24" t="n">
        <x:v>3379.828</x:v>
      </x:c>
      <x:c r="H57" s="24" t="n">
        <x:v>13.7</x:v>
      </x:c>
      <x:c r="I57" s="25" t="n">
        <x:v>0.00405951821109074</x:v>
      </x:c>
      <x:c r="J57" s="24" t="n">
        <x:f>ROUND(E57-F57,1)</x:f>
        <x:v>45</x:v>
      </x:c>
      <x:c r="K57" s="23" t="str">
        <x:v>上证指数</x:v>
      </x:c>
    </x:row>
    <x:row r="58">
      <x:c r="A58" s="23" t="n">
        <x:v>8</x:v>
      </x:c>
      <x:c r="B58" s="23" t="str">
        <x:v>周三</x:v>
      </x:c>
      <x:c r="C58" s="23" t="str">
        <x:v>3月12日</x:v>
      </x:c>
      <x:c r="D58" s="24" t="n">
        <x:v>3385.685</x:v>
      </x:c>
      <x:c r="E58" s="24" t="n">
        <x:v>3392.409</x:v>
      </x:c>
      <x:c r="F58" s="24" t="n">
        <x:v>3370.22</x:v>
      </x:c>
      <x:c r="G58" s="24" t="n">
        <x:v>3371.924</x:v>
      </x:c>
      <x:c r="H58" s="24" t="n">
        <x:v>-7.9</x:v>
      </x:c>
      <x:c r="I58" s="25" t="n">
        <x:v>-0.002338580543151947</x:v>
      </x:c>
      <x:c r="J58" s="24" t="n">
        <x:f>ROUND(E58-F58,1)</x:f>
        <x:v>22.2</x:v>
      </x:c>
      <x:c r="K58" s="23" t="str">
        <x:v>上证指数</x:v>
      </x:c>
    </x:row>
    <x:row r="59">
      <x:c r="A59" s="23" t="n">
        <x:v>9</x:v>
      </x:c>
      <x:c r="B59" s="23" t="str">
        <x:v>周四</x:v>
      </x:c>
      <x:c r="C59" s="23" t="str">
        <x:v>3月13日</x:v>
      </x:c>
      <x:c r="D59" s="24" t="n">
        <x:v>3371.095</x:v>
      </x:c>
      <x:c r="E59" s="24" t="n">
        <x:v>3377.118</x:v>
      </x:c>
      <x:c r="F59" s="24" t="n">
        <x:v>3341.118</x:v>
      </x:c>
      <x:c r="G59" s="24" t="n">
        <x:v>3358.729</x:v>
      </x:c>
      <x:c r="H59" s="24" t="n">
        <x:v>-13.2</x:v>
      </x:c>
      <x:c r="I59" s="25" t="n">
        <x:v>-0.003913196145583386</x:v>
      </x:c>
      <x:c r="J59" s="24" t="n">
        <x:f>ROUND(E59-F59,1)</x:f>
        <x:v>36</x:v>
      </x:c>
      <x:c r="K59" s="23" t="str">
        <x:v>上证指数</x:v>
      </x:c>
    </x:row>
    <x:row r="60">
      <x:c r="A60" s="23" t="n">
        <x:v>10</x:v>
      </x:c>
      <x:c r="B60" s="23" t="str">
        <x:v>周五</x:v>
      </x:c>
      <x:c r="C60" s="23" t="str">
        <x:v>3月14日</x:v>
      </x:c>
      <x:c r="D60" s="24" t="n">
        <x:v>3361.686</x:v>
      </x:c>
      <x:c r="E60" s="24" t="n">
        <x:v>3421.233</x:v>
      </x:c>
      <x:c r="F60" s="24" t="n">
        <x:v>3360.606</x:v>
      </x:c>
      <x:c r="G60" s="24" t="n">
        <x:v>3419.562</x:v>
      </x:c>
      <x:c r="H60" s="24" t="n">
        <x:v>60.8</x:v>
      </x:c>
      <x:c r="I60" s="25" t="n">
        <x:v>0.018111910785300056</x:v>
      </x:c>
      <x:c r="J60" s="29" t="n">
        <x:f>ROUND(E60-F60,1)</x:f>
        <x:v>60.6</x:v>
      </x:c>
      <x:c r="K60" s="23" t="str">
        <x:v>上证指数</x:v>
      </x:c>
    </x:row>
    <x:row r="61">
      <x:c r="A61" s="23" t="n">
        <x:v>11</x:v>
      </x:c>
      <x:c r="B61" s="23" t="str">
        <x:v>周一</x:v>
      </x:c>
      <x:c r="C61" s="23" t="str">
        <x:v>3月17日</x:v>
      </x:c>
      <x:c r="D61" s="24" t="n">
        <x:v>3430.809</x:v>
      </x:c>
      <x:c r="E61" s="24" t="n">
        <x:v>3436.352</x:v>
      </x:c>
      <x:c r="F61" s="24" t="n">
        <x:v>3422.462</x:v>
      </x:c>
      <x:c r="G61" s="24" t="n">
        <x:v>3426.129</x:v>
      </x:c>
      <x:c r="H61" s="24" t="n">
        <x:v>6.6</x:v>
      </x:c>
      <x:c r="I61" s="25" t="n">
        <x:v>0.0019204213873005305</x:v>
      </x:c>
      <x:c r="J61" s="24" t="n">
        <x:f>ROUND(E61-F61,1)</x:f>
        <x:v>13.9</x:v>
      </x:c>
      <x:c r="K61" s="23" t="str">
        <x:v>上证指数</x:v>
      </x:c>
    </x:row>
    <x:row r="62">
      <x:c r="A62" s="23" t="n">
        <x:v>12</x:v>
      </x:c>
      <x:c r="B62" s="23" t="str">
        <x:v>周二</x:v>
      </x:c>
      <x:c r="C62" s="23" t="str">
        <x:v>3月18日</x:v>
      </x:c>
      <x:c r="D62" s="24" t="n">
        <x:v>3434.565</x:v>
      </x:c>
      <x:c r="E62" s="24" t="n">
        <x:v>3437.065</x:v>
      </x:c>
      <x:c r="F62" s="24" t="n">
        <x:v>3423.301</x:v>
      </x:c>
      <x:c r="G62" s="24" t="n">
        <x:v>3429.759</x:v>
      </x:c>
      <x:c r="H62" s="24" t="n">
        <x:v>3.6</x:v>
      </x:c>
      <x:c r="I62" s="25" t="n">
        <x:v>0.0010595047647068423</x:v>
      </x:c>
      <x:c r="J62" s="24" t="n">
        <x:f>ROUND(E62-F62,1)</x:f>
        <x:v>13.8</x:v>
      </x:c>
      <x:c r="K62" s="23" t="str">
        <x:v>上证指数</x:v>
      </x:c>
    </x:row>
    <x:row r="63">
      <x:c r="A63" s="23" t="n">
        <x:v>13</x:v>
      </x:c>
      <x:c r="B63" s="23" t="str">
        <x:v>周三</x:v>
      </x:c>
      <x:c r="C63" s="23" t="str">
        <x:v>3月19日</x:v>
      </x:c>
      <x:c r="D63" s="24" t="n">
        <x:v>3424.173</x:v>
      </x:c>
      <x:c r="E63" s="24" t="n">
        <x:v>3439.046</x:v>
      </x:c>
      <x:c r="F63" s="24" t="n">
        <x:v>3414.593</x:v>
      </x:c>
      <x:c r="G63" s="24" t="n">
        <x:v>3426.429</x:v>
      </x:c>
      <x:c r="H63" s="24" t="n">
        <x:v>-3.3</x:v>
      </x:c>
      <x:c r="I63" s="25" t="n">
        <x:v>-0.0009709136997672063</x:v>
      </x:c>
      <x:c r="J63" s="24" t="n">
        <x:f>ROUND(E63-F63,1)</x:f>
        <x:v>24.5</x:v>
      </x:c>
      <x:c r="K63" s="23" t="str">
        <x:v>上证指数</x:v>
      </x:c>
    </x:row>
    <x:row r="64">
      <x:c r="A64" s="23" t="n">
        <x:v>14</x:v>
      </x:c>
      <x:c r="B64" s="23" t="str">
        <x:v>周四</x:v>
      </x:c>
      <x:c r="C64" s="23" t="str">
        <x:v>3月20日</x:v>
      </x:c>
      <x:c r="D64" s="24" t="n">
        <x:v>3425.216</x:v>
      </x:c>
      <x:c r="E64" s="24" t="n">
        <x:v>3427.045</x:v>
      </x:c>
      <x:c r="F64" s="24" t="n">
        <x:v>3404.662</x:v>
      </x:c>
      <x:c r="G64" s="24" t="n">
        <x:v>3408.948</x:v>
      </x:c>
      <x:c r="H64" s="24" t="n">
        <x:v>-17.5</x:v>
      </x:c>
      <x:c r="I64" s="25" t="n">
        <x:v>-0.005101812995395583</x:v>
      </x:c>
      <x:c r="J64" s="24" t="n">
        <x:f>ROUND(E64-F64,1)</x:f>
        <x:v>22.4</x:v>
      </x:c>
      <x:c r="K64" s="23" t="str">
        <x:v>上证指数</x:v>
      </x:c>
    </x:row>
    <x:row r="65">
      <x:c r="A65" s="33" t="n">
        <x:v>15</x:v>
      </x:c>
      <x:c r="B65" s="33" t="str">
        <x:v>周五</x:v>
      </x:c>
      <x:c r="C65" s="33" t="str">
        <x:v>3月21日</x:v>
      </x:c>
      <x:c r="D65" s="34" t="n">
        <x:v>3401.759</x:v>
      </x:c>
      <x:c r="E65" s="34" t="n">
        <x:v>3414.709</x:v>
      </x:c>
      <x:c r="F65" s="34" t="n">
        <x:v>3355.84</x:v>
      </x:c>
      <x:c r="G65" s="34" t="n">
        <x:v>3364.831</x:v>
      </x:c>
      <x:c r="H65" s="34" t="n">
        <x:v>-44.1</x:v>
      </x:c>
      <x:c r="I65" s="35" t="n">
        <x:v>-0.012941529175569677</x:v>
      </x:c>
      <x:c r="J65" s="29" t="n">
        <x:f>ROUND(E65-F65,1)</x:f>
        <x:v>58.9</x:v>
      </x:c>
      <x:c r="K65" s="33" t="str">
        <x:v>上证指数</x:v>
      </x:c>
    </x:row>
    <x:row r="66">
      <x:c r="A66" s="23" t="n">
        <x:v>16</x:v>
      </x:c>
      <x:c r="B66" s="23" t="str">
        <x:v>周一</x:v>
      </x:c>
      <x:c r="C66" s="23" t="str">
        <x:v>3月24日</x:v>
      </x:c>
      <x:c r="D66" s="24" t="n">
        <x:v>3364.834</x:v>
      </x:c>
      <x:c r="E66" s="24" t="n">
        <x:v>3373.694</x:v>
      </x:c>
      <x:c r="F66" s="24" t="n">
        <x:v>3340.238</x:v>
      </x:c>
      <x:c r="G66" s="24" t="n">
        <x:v>3370.028</x:v>
      </x:c>
      <x:c r="H66" s="24" t="n">
        <x:v>5.2</x:v>
      </x:c>
      <x:c r="I66" s="25" t="n">
        <x:v>0.0015445055041396483</x:v>
      </x:c>
      <x:c r="J66" s="24" t="n">
        <x:f>ROUND(E66-F66,1)</x:f>
        <x:v>33.5</x:v>
      </x:c>
      <x:c r="K66" s="23" t="str">
        <x:v>上证指数</x:v>
      </x:c>
    </x:row>
    <x:row r="67">
      <x:c r="A67" s="23" t="n">
        <x:v>17</x:v>
      </x:c>
      <x:c r="B67" s="23" t="str">
        <x:v>周二</x:v>
      </x:c>
      <x:c r="C67" s="23" t="str">
        <x:v>3月25日</x:v>
      </x:c>
      <x:c r="D67" s="24" t="n">
        <x:v>3370.001</x:v>
      </x:c>
      <x:c r="E67" s="24" t="n">
        <x:v>3379.988</x:v>
      </x:c>
      <x:c r="F67" s="24" t="n">
        <x:v>3361.046</x:v>
      </x:c>
      <x:c r="G67" s="24" t="n">
        <x:v>3369.976</x:v>
      </x:c>
      <x:c r="H67" s="24" t="n">
        <x:v>-0.1</x:v>
      </x:c>
      <x:c r="I67" s="25" t="n">
        <x:v>-0.000015430138859295894</x:v>
      </x:c>
      <x:c r="J67" s="24" t="n">
        <x:f>ROUND(E67-F67,1)</x:f>
        <x:v>18.9</x:v>
      </x:c>
      <x:c r="K67" s="23" t="str">
        <x:v>上证指数</x:v>
      </x:c>
    </x:row>
    <x:row r="68">
      <x:c r="A68" s="23" t="n">
        <x:v>18</x:v>
      </x:c>
      <x:c r="B68" s="23" t="str">
        <x:v>周三</x:v>
      </x:c>
      <x:c r="C68" s="23" t="str">
        <x:v>3月26日</x:v>
      </x:c>
      <x:c r="D68" s="24" t="n">
        <x:v>3365.666</x:v>
      </x:c>
      <x:c r="E68" s="24" t="n">
        <x:v>3382.342</x:v>
      </x:c>
      <x:c r="F68" s="24" t="n">
        <x:v>3365.666</x:v>
      </x:c>
      <x:c r="G68" s="24" t="n">
        <x:v>3368.697</x:v>
      </x:c>
      <x:c r="H68" s="24" t="n">
        <x:v>-1.3</x:v>
      </x:c>
      <x:c r="I68" s="25" t="n">
        <x:v>-0.0003795279254213968</x:v>
      </x:c>
      <x:c r="J68" s="24" t="n">
        <x:f>ROUND(E68-F68,1)</x:f>
        <x:v>16.7</x:v>
      </x:c>
      <x:c r="K68" s="23" t="str">
        <x:v>上证指数</x:v>
      </x:c>
    </x:row>
    <x:row r="69">
      <x:c r="A69" s="23" t="n">
        <x:v>19</x:v>
      </x:c>
      <x:c r="B69" s="23" t="str">
        <x:v>周四</x:v>
      </x:c>
      <x:c r="C69" s="23" t="str">
        <x:v>3月27日</x:v>
      </x:c>
      <x:c r="D69" s="24" t="n">
        <x:v>3362.712</x:v>
      </x:c>
      <x:c r="E69" s="24" t="n">
        <x:v>3394.035</x:v>
      </x:c>
      <x:c r="F69" s="24" t="n">
        <x:v>3351.174</x:v>
      </x:c>
      <x:c r="G69" s="24" t="n">
        <x:v>3373.749</x:v>
      </x:c>
      <x:c r="H69" s="24" t="n">
        <x:v>5.1</x:v>
      </x:c>
      <x:c r="I69" s="25" t="n">
        <x:v>0.0014996896426124895</x:v>
      </x:c>
      <x:c r="J69" s="24" t="n">
        <x:f>ROUND(E69-F69,1)</x:f>
        <x:v>42.9</x:v>
      </x:c>
      <x:c r="K69" s="23" t="str">
        <x:v>上证指数</x:v>
      </x:c>
    </x:row>
    <x:row r="70">
      <x:c r="A70" s="23" t="n">
        <x:v>20</x:v>
      </x:c>
      <x:c r="B70" s="23" t="str">
        <x:v>周五</x:v>
      </x:c>
      <x:c r="C70" s="23" t="str">
        <x:v>3月28日</x:v>
      </x:c>
      <x:c r="D70" s="24" t="n">
        <x:v>3372.039</x:v>
      </x:c>
      <x:c r="E70" s="24" t="n">
        <x:v>3375.053</x:v>
      </x:c>
      <x:c r="F70" s="24" t="n">
        <x:v>3346.081</x:v>
      </x:c>
      <x:c r="G70" s="24" t="n">
        <x:v>3351.307</x:v>
      </x:c>
      <x:c r="H70" s="24" t="n">
        <x:v>-22.4</x:v>
      </x:c>
      <x:c r="I70" s="25" t="n">
        <x:v>-0.006651947136553482</x:v>
      </x:c>
      <x:c r="J70" s="24" t="n">
        <x:f>ROUND(E70-F70,1)</x:f>
        <x:v>29</x:v>
      </x:c>
      <x:c r="K70" s="23" t="str">
        <x:v>上证指数</x:v>
      </x:c>
    </x:row>
    <x:row r="71">
      <x:c r="A71" s="23" t="n">
        <x:v>21</x:v>
      </x:c>
      <x:c r="B71" s="23" t="str">
        <x:v>周一</x:v>
      </x:c>
      <x:c r="C71" s="23" t="str">
        <x:v>3月31日</x:v>
      </x:c>
      <x:c r="D71" s="24" t="n">
        <x:v>3343.344</x:v>
      </x:c>
      <x:c r="E71" s="24" t="n">
        <x:v>3361.742</x:v>
      </x:c>
      <x:c r="F71" s="24" t="n">
        <x:v>3317.738</x:v>
      </x:c>
      <x:c r="G71" s="24" t="n">
        <x:v>3335.746</x:v>
      </x:c>
      <x:c r="H71" s="24" t="n">
        <x:v>-15.6</x:v>
      </x:c>
      <x:c r="I71" s="25" t="n">
        <x:v>-0.004643263061247405</x:v>
      </x:c>
      <x:c r="J71" s="24" t="n">
        <x:f>ROUND(E71-F71,1)</x:f>
        <x:v>44</x:v>
      </x:c>
      <x:c r="K71" s="23" t="str">
        <x:v>上证指数</x:v>
      </x:c>
    </x:row>
    <x:row r="72">
      <x:c r="A72" s="38" t="str">
        <x:v>合计</x:v>
      </x:c>
      <x:c r="B72" s="37" t="n">
        <x:v>21</x:v>
      </x:c>
      <x:c r="C72" s="37"/>
      <x:c r="D72" s="37"/>
      <x:c r="E72" s="37"/>
      <x:c r="F72" s="37"/>
      <x:c r="G72" s="37"/>
      <x:c r="H72" s="37"/>
      <x:c r="I72" s="37"/>
      <x:c r="J72" s="39" t="n">
        <x:f>ROUND(SUM(J51:J71),1)</x:f>
        <x:v>679.6</x:v>
      </x:c>
      <x:c r="K72" s="37"/>
    </x:row>
    <x:row r="73">
      <x:c r="A73" s="38" t="str">
        <x:v>均值</x:v>
      </x:c>
      <x:c r="B73" s="37"/>
      <x:c r="C73" s="37"/>
      <x:c r="D73" s="37"/>
      <x:c r="E73" s="37"/>
      <x:c r="F73" s="37"/>
      <x:c r="G73" s="37"/>
      <x:c r="H73" s="37"/>
      <x:c r="I73" s="37"/>
      <x:c r="J73" s="41" t="n">
        <x:f>ROUND(IFERROR(AVERAGE(J51:J71),0),1)</x:f>
        <x:v>32.4</x:v>
      </x:c>
      <x:c r="K73" s="37"/>
    </x:row>
    <x:row r="75">
      <x:c r="A75" s="17" t="str">
        <x:v>4月</x:v>
      </x:c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</x:row>
    <x:row r="76">
      <x:c r="A76" s="20" t="str">
        <x:v>序号</x:v>
      </x:c>
      <x:c r="B76" s="20" t="str">
        <x:v>星期</x:v>
      </x:c>
      <x:c r="C76" s="20" t="str">
        <x:v>日期</x:v>
      </x:c>
      <x:c r="D76" s="20" t="str">
        <x:v>开盘</x:v>
      </x:c>
      <x:c r="E76" s="20" t="str">
        <x:v>高点</x:v>
      </x:c>
      <x:c r="F76" s="20" t="str">
        <x:v>低点</x:v>
      </x:c>
      <x:c r="G76" s="20" t="str">
        <x:v>收盘</x:v>
      </x:c>
      <x:c r="H76" s="20" t="str">
        <x:v>涨跌点数</x:v>
      </x:c>
      <x:c r="I76" s="20" t="str">
        <x:v>涨幅</x:v>
      </x:c>
      <x:c r="J76" s="20" t="str">
        <x:v>振幅</x:v>
      </x:c>
      <x:c r="K76" s="20" t="str">
        <x:v>标的</x:v>
      </x:c>
    </x:row>
    <x:row r="77">
      <x:c r="A77" s="23" t="n">
        <x:v>1</x:v>
      </x:c>
      <x:c r="B77" s="23" t="str">
        <x:v>周二</x:v>
      </x:c>
      <x:c r="C77" s="23" t="str">
        <x:v>4月1日</x:v>
      </x:c>
      <x:c r="D77" s="24" t="n">
        <x:v>3340.712</x:v>
      </x:c>
      <x:c r="E77" s="24" t="n">
        <x:v>3357.622</x:v>
      </x:c>
      <x:c r="F77" s="24" t="n">
        <x:v>3338.779</x:v>
      </x:c>
      <x:c r="G77" s="24" t="n">
        <x:v>3348.435</x:v>
      </x:c>
      <x:c r="H77" s="24" t="n">
        <x:v>12.7</x:v>
      </x:c>
      <x:c r="I77" s="25" t="n">
        <x:v>0.0038039467033761376</x:v>
      </x:c>
      <x:c r="J77" s="24" t="n">
        <x:f>ROUND(E77-F77,1)</x:f>
        <x:v>18.8</x:v>
      </x:c>
      <x:c r="K77" s="23" t="str">
        <x:v>上证指数</x:v>
      </x:c>
    </x:row>
    <x:row r="78">
      <x:c r="A78" s="23" t="n">
        <x:v>2</x:v>
      </x:c>
      <x:c r="B78" s="23" t="str">
        <x:v>周三</x:v>
      </x:c>
      <x:c r="C78" s="23" t="str">
        <x:v>4月2日</x:v>
      </x:c>
      <x:c r="D78" s="24" t="n">
        <x:v>3344.171</x:v>
      </x:c>
      <x:c r="E78" s="24" t="n">
        <x:v>3361.134</x:v>
      </x:c>
      <x:c r="F78" s="24" t="n">
        <x:v>3343.116</x:v>
      </x:c>
      <x:c r="G78" s="24" t="n">
        <x:v>3350.127</x:v>
      </x:c>
      <x:c r="H78" s="24" t="n">
        <x:v>1.7</x:v>
      </x:c>
      <x:c r="I78" s="25" t="n">
        <x:v>0.0005053106899193249</x:v>
      </x:c>
      <x:c r="J78" s="24" t="n">
        <x:f>ROUND(E78-F78,1)</x:f>
        <x:v>18</x:v>
      </x:c>
      <x:c r="K78" s="23" t="str">
        <x:v>上证指数</x:v>
      </x:c>
    </x:row>
    <x:row r="79">
      <x:c r="A79" s="23" t="n">
        <x:v>3</x:v>
      </x:c>
      <x:c r="B79" s="23" t="str">
        <x:v>周四</x:v>
      </x:c>
      <x:c r="C79" s="23" t="str">
        <x:v>4月3日</x:v>
      </x:c>
      <x:c r="D79" s="24" t="n">
        <x:v>3319.606</x:v>
      </x:c>
      <x:c r="E79" s="24" t="n">
        <x:v>3358.426</x:v>
      </x:c>
      <x:c r="F79" s="24" t="n">
        <x:v>3319.606</x:v>
      </x:c>
      <x:c r="G79" s="24" t="n">
        <x:v>3342.008</x:v>
      </x:c>
      <x:c r="H79" s="24" t="n">
        <x:v>-8.1</x:v>
      </x:c>
      <x:c r="I79" s="25" t="n">
        <x:v>-0.002423490213953161</x:v>
      </x:c>
      <x:c r="J79" s="24" t="n">
        <x:f>ROUND(E79-F79,1)</x:f>
        <x:v>38.8</x:v>
      </x:c>
      <x:c r="K79" s="23" t="str">
        <x:v>上证指数</x:v>
      </x:c>
    </x:row>
    <x:row r="80">
      <x:c r="A80" s="23" t="n">
        <x:v>4</x:v>
      </x:c>
      <x:c r="B80" s="23" t="str">
        <x:v>周一</x:v>
      </x:c>
      <x:c r="C80" s="23" t="str">
        <x:v>4月7日</x:v>
      </x:c>
      <x:c r="D80" s="24" t="n">
        <x:v>3193.102</x:v>
      </x:c>
      <x:c r="E80" s="24" t="n">
        <x:v>3217.782</x:v>
      </x:c>
      <x:c r="F80" s="24" t="n">
        <x:v>3040.693</x:v>
      </x:c>
      <x:c r="G80" s="24" t="n">
        <x:v>3096.576</x:v>
      </x:c>
      <x:c r="H80" s="27" t="n">
        <x:v>-245.4</x:v>
      </x:c>
      <x:c r="I80" s="25" t="n">
        <x:v>-0.07343848369004502</x:v>
      </x:c>
      <x:c r="J80" s="29" t="n">
        <x:f>ROUND(E80-F80,1)</x:f>
        <x:v>177.1</x:v>
      </x:c>
      <x:c r="K80" s="23" t="str">
        <x:v>上证指数</x:v>
      </x:c>
    </x:row>
    <x:row r="81">
      <x:c r="A81" s="23" t="n">
        <x:v>5</x:v>
      </x:c>
      <x:c r="B81" s="23" t="str">
        <x:v>周二</x:v>
      </x:c>
      <x:c r="C81" s="23" t="str">
        <x:v>4月8日</x:v>
      </x:c>
      <x:c r="D81" s="24" t="n">
        <x:v>3094.262</x:v>
      </x:c>
      <x:c r="E81" s="24" t="n">
        <x:v>3145.549</x:v>
      </x:c>
      <x:c r="F81" s="24" t="n">
        <x:v>3085.123</x:v>
      </x:c>
      <x:c r="G81" s="24" t="n">
        <x:v>3145.549</x:v>
      </x:c>
      <x:c r="H81" s="24" t="n">
        <x:v>49</x:v>
      </x:c>
      <x:c r="I81" s="25" t="n">
        <x:v>0.01581521009011233</x:v>
      </x:c>
      <x:c r="J81" s="29" t="n">
        <x:f>ROUND(E81-F81,1)</x:f>
        <x:v>60.4</x:v>
      </x:c>
      <x:c r="K81" s="23" t="str">
        <x:v>上证指数</x:v>
      </x:c>
    </x:row>
    <x:row r="82">
      <x:c r="A82" s="23" t="n">
        <x:v>6</x:v>
      </x:c>
      <x:c r="B82" s="23" t="str">
        <x:v>周三</x:v>
      </x:c>
      <x:c r="C82" s="23" t="str">
        <x:v>4月9日</x:v>
      </x:c>
      <x:c r="D82" s="24" t="n">
        <x:v>3110.01</x:v>
      </x:c>
      <x:c r="E82" s="24" t="n">
        <x:v>3186.81</x:v>
      </x:c>
      <x:c r="F82" s="24" t="n">
        <x:v>3070.078</x:v>
      </x:c>
      <x:c r="G82" s="24" t="n">
        <x:v>3186.81</x:v>
      </x:c>
      <x:c r="H82" s="24" t="n">
        <x:v>41.3</x:v>
      </x:c>
      <x:c r="I82" s="25" t="n">
        <x:v>0.013117265062474015</x:v>
      </x:c>
      <x:c r="J82" s="29" t="n">
        <x:f>ROUND(E82-F82,1)</x:f>
        <x:v>116.7</x:v>
      </x:c>
      <x:c r="K82" s="23" t="str">
        <x:v>上证指数</x:v>
      </x:c>
    </x:row>
    <x:row r="83">
      <x:c r="A83" s="23" t="n">
        <x:v>7</x:v>
      </x:c>
      <x:c r="B83" s="23" t="str">
        <x:v>周四</x:v>
      </x:c>
      <x:c r="C83" s="23" t="str">
        <x:v>4月10日</x:v>
      </x:c>
      <x:c r="D83" s="24" t="n">
        <x:v>3227.836</x:v>
      </x:c>
      <x:c r="E83" s="24" t="n">
        <x:v>3239.941</x:v>
      </x:c>
      <x:c r="F83" s="24" t="n">
        <x:v>3201.571</x:v>
      </x:c>
      <x:c r="G83" s="24" t="n">
        <x:v>3223.638</x:v>
      </x:c>
      <x:c r="H83" s="24" t="n">
        <x:v>36.8</x:v>
      </x:c>
      <x:c r="I83" s="25" t="n">
        <x:v>0.011556383970177109</x:v>
      </x:c>
      <x:c r="J83" s="24" t="n">
        <x:f>ROUND(E83-F83,1)</x:f>
        <x:v>38.4</x:v>
      </x:c>
      <x:c r="K83" s="23" t="str">
        <x:v>上证指数</x:v>
      </x:c>
    </x:row>
    <x:row r="84">
      <x:c r="A84" s="23" t="n">
        <x:v>8</x:v>
      </x:c>
      <x:c r="B84" s="23" t="str">
        <x:v>周五</x:v>
      </x:c>
      <x:c r="C84" s="23" t="str">
        <x:v>4月11日</x:v>
      </x:c>
      <x:c r="D84" s="24" t="n">
        <x:v>3219.505</x:v>
      </x:c>
      <x:c r="E84" s="24" t="n">
        <x:v>3249.854</x:v>
      </x:c>
      <x:c r="F84" s="24" t="n">
        <x:v>3211.35</x:v>
      </x:c>
      <x:c r="G84" s="24" t="n">
        <x:v>3238.227</x:v>
      </x:c>
      <x:c r="H84" s="24" t="n">
        <x:v>14.6</x:v>
      </x:c>
      <x:c r="I84" s="25" t="n">
        <x:v>0.0045256322204911825</x:v>
      </x:c>
      <x:c r="J84" s="24" t="n">
        <x:f>ROUND(E84-F84,1)</x:f>
        <x:v>38.5</x:v>
      </x:c>
      <x:c r="K84" s="23" t="str">
        <x:v>上证指数</x:v>
      </x:c>
    </x:row>
    <x:row r="85">
      <x:c r="A85" s="23" t="n">
        <x:v>9</x:v>
      </x:c>
      <x:c r="B85" s="23" t="str">
        <x:v>周一</x:v>
      </x:c>
      <x:c r="C85" s="23" t="str">
        <x:v>4月14日</x:v>
      </x:c>
      <x:c r="D85" s="24" t="n">
        <x:v>3251.978</x:v>
      </x:c>
      <x:c r="E85" s="24" t="n">
        <x:v>3272.72</x:v>
      </x:c>
      <x:c r="F85" s="24" t="n">
        <x:v>3244.733</x:v>
      </x:c>
      <x:c r="G85" s="24" t="n">
        <x:v>3262.808</x:v>
      </x:c>
      <x:c r="H85" s="24" t="n">
        <x:v>24.6</x:v>
      </x:c>
      <x:c r="I85" s="25" t="n">
        <x:v>0.007590882294539636</x:v>
      </x:c>
      <x:c r="J85" s="24" t="n">
        <x:f>ROUND(E85-F85,1)</x:f>
        <x:v>28</x:v>
      </x:c>
      <x:c r="K85" s="23" t="str">
        <x:v>上证指数</x:v>
      </x:c>
    </x:row>
    <x:row r="86">
      <x:c r="A86" s="23" t="n">
        <x:v>10</x:v>
      </x:c>
      <x:c r="B86" s="23" t="str">
        <x:v>周二</x:v>
      </x:c>
      <x:c r="C86" s="23" t="str">
        <x:v>4月15日</x:v>
      </x:c>
      <x:c r="D86" s="24" t="n">
        <x:v>3260.685</x:v>
      </x:c>
      <x:c r="E86" s="24" t="n">
        <x:v>3268.985</x:v>
      </x:c>
      <x:c r="F86" s="24" t="n">
        <x:v>3246.337</x:v>
      </x:c>
      <x:c r="G86" s="24" t="n">
        <x:v>3267.662</x:v>
      </x:c>
      <x:c r="H86" s="24" t="n">
        <x:v>4.9</x:v>
      </x:c>
      <x:c r="I86" s="25" t="n">
        <x:v>0.0014876756462531837</x:v>
      </x:c>
      <x:c r="J86" s="24" t="n">
        <x:f>ROUND(E86-F86,1)</x:f>
        <x:v>22.6</x:v>
      </x:c>
      <x:c r="K86" s="23" t="str">
        <x:v>上证指数</x:v>
      </x:c>
    </x:row>
    <x:row r="87">
      <x:c r="A87" s="23" t="n">
        <x:v>11</x:v>
      </x:c>
      <x:c r="B87" s="23" t="str">
        <x:v>周三</x:v>
      </x:c>
      <x:c r="C87" s="23" t="str">
        <x:v>4月16日</x:v>
      </x:c>
      <x:c r="D87" s="24" t="n">
        <x:v>3267.665</x:v>
      </x:c>
      <x:c r="E87" s="24" t="n">
        <x:v>3276.005</x:v>
      </x:c>
      <x:c r="F87" s="24" t="n">
        <x:v>3233.791</x:v>
      </x:c>
      <x:c r="G87" s="24" t="n">
        <x:v>3276.004</x:v>
      </x:c>
      <x:c r="H87" s="24" t="n">
        <x:v>8.3</x:v>
      </x:c>
      <x:c r="I87" s="25" t="n">
        <x:v>0.0025528956177229833</x:v>
      </x:c>
      <x:c r="J87" s="24" t="n">
        <x:f>ROUND(E87-F87,1)</x:f>
        <x:v>42.2</x:v>
      </x:c>
      <x:c r="K87" s="23" t="str">
        <x:v>上证指数</x:v>
      </x:c>
    </x:row>
    <x:row r="88">
      <x:c r="A88" s="23" t="n">
        <x:v>12</x:v>
      </x:c>
      <x:c r="B88" s="23" t="str">
        <x:v>周四</x:v>
      </x:c>
      <x:c r="C88" s="23" t="str">
        <x:v>4月17日</x:v>
      </x:c>
      <x:c r="D88" s="24" t="n">
        <x:v>3261.718</x:v>
      </x:c>
      <x:c r="E88" s="24" t="n">
        <x:v>3285.915</x:v>
      </x:c>
      <x:c r="F88" s="24" t="n">
        <x:v>3258.145</x:v>
      </x:c>
      <x:c r="G88" s="24" t="n">
        <x:v>3280.341</x:v>
      </x:c>
      <x:c r="H88" s="24" t="n">
        <x:v>4.3</x:v>
      </x:c>
      <x:c r="I88" s="25" t="n">
        <x:v>0.0013238689574248674</x:v>
      </x:c>
      <x:c r="J88" s="24" t="n">
        <x:f>ROUND(E88-F88,1)</x:f>
        <x:v>27.8</x:v>
      </x:c>
      <x:c r="K88" s="23" t="str">
        <x:v>上证指数</x:v>
      </x:c>
    </x:row>
    <x:row r="89">
      <x:c r="A89" s="33" t="n">
        <x:v>13</x:v>
      </x:c>
      <x:c r="B89" s="33" t="str">
        <x:v>周五</x:v>
      </x:c>
      <x:c r="C89" s="33" t="str">
        <x:v>4月18日</x:v>
      </x:c>
      <x:c r="D89" s="34" t="n">
        <x:v>3270.353</x:v>
      </x:c>
      <x:c r="E89" s="34" t="n">
        <x:v>3283.09</x:v>
      </x:c>
      <x:c r="F89" s="34" t="n">
        <x:v>3262.392</x:v>
      </x:c>
      <x:c r="G89" s="34" t="n">
        <x:v>3276.73</x:v>
      </x:c>
      <x:c r="H89" s="34" t="n">
        <x:v>-3.6</x:v>
      </x:c>
      <x:c r="I89" s="35" t="n">
        <x:v>-0.0011008001911996246</x:v>
      </x:c>
      <x:c r="J89" s="34" t="n">
        <x:f>ROUND(E89-F89,1)</x:f>
        <x:v>20.7</x:v>
      </x:c>
      <x:c r="K89" s="33" t="str">
        <x:v>上证指数</x:v>
      </x:c>
    </x:row>
    <x:row r="90">
      <x:c r="A90" s="23" t="n">
        <x:v>14</x:v>
      </x:c>
      <x:c r="B90" s="23" t="str">
        <x:v>周一</x:v>
      </x:c>
      <x:c r="C90" s="23" t="str">
        <x:v>4月21日</x:v>
      </x:c>
      <x:c r="D90" s="24" t="n">
        <x:v>3273.138</x:v>
      </x:c>
      <x:c r="E90" s="24" t="n">
        <x:v>3298.64</x:v>
      </x:c>
      <x:c r="F90" s="24" t="n">
        <x:v>3270.013</x:v>
      </x:c>
      <x:c r="G90" s="24" t="n">
        <x:v>3291.434</x:v>
      </x:c>
      <x:c r="H90" s="24" t="n">
        <x:v>14.7</x:v>
      </x:c>
      <x:c r="I90" s="25" t="n">
        <x:v>0.004487400548717879</x:v>
      </x:c>
      <x:c r="J90" s="24" t="n">
        <x:f>ROUND(E90-F90,1)</x:f>
        <x:v>28.6</x:v>
      </x:c>
      <x:c r="K90" s="23" t="str">
        <x:v>上证指数</x:v>
      </x:c>
    </x:row>
    <x:row r="91">
      <x:c r="A91" s="23" t="n">
        <x:v>15</x:v>
      </x:c>
      <x:c r="B91" s="23" t="str">
        <x:v>周二</x:v>
      </x:c>
      <x:c r="C91" s="23" t="str">
        <x:v>4月22日</x:v>
      </x:c>
      <x:c r="D91" s="24" t="n">
        <x:v>3289.166</x:v>
      </x:c>
      <x:c r="E91" s="24" t="n">
        <x:v>3311.153</x:v>
      </x:c>
      <x:c r="F91" s="24" t="n">
        <x:v>3288.332</x:v>
      </x:c>
      <x:c r="G91" s="24" t="n">
        <x:v>3299.757</x:v>
      </x:c>
      <x:c r="H91" s="24" t="n">
        <x:v>8.3</x:v>
      </x:c>
      <x:c r="I91" s="25" t="n">
        <x:v>0.0025286850655368287</x:v>
      </x:c>
      <x:c r="J91" s="24" t="n">
        <x:f>ROUND(E91-F91,1)</x:f>
        <x:v>22.8</x:v>
      </x:c>
      <x:c r="K91" s="23" t="str">
        <x:v>上证指数</x:v>
      </x:c>
    </x:row>
    <x:row r="92">
      <x:c r="A92" s="23" t="n">
        <x:v>16</x:v>
      </x:c>
      <x:c r="B92" s="23" t="str">
        <x:v>周三</x:v>
      </x:c>
      <x:c r="C92" s="23" t="str">
        <x:v>4月23日</x:v>
      </x:c>
      <x:c r="D92" s="24" t="n">
        <x:v>3308.151</x:v>
      </x:c>
      <x:c r="E92" s="24" t="n">
        <x:v>3312.192</x:v>
      </x:c>
      <x:c r="F92" s="24" t="n">
        <x:v>3293.063</x:v>
      </x:c>
      <x:c r="G92" s="24" t="n">
        <x:v>3296.355</x:v>
      </x:c>
      <x:c r="H92" s="24" t="n">
        <x:v>-3.4</x:v>
      </x:c>
      <x:c r="I92" s="25" t="n">
        <x:v>-0.0010309850088960903</x:v>
      </x:c>
      <x:c r="J92" s="24" t="n">
        <x:f>ROUND(E92-F92,1)</x:f>
        <x:v>19.1</x:v>
      </x:c>
      <x:c r="K92" s="23" t="str">
        <x:v>上证指数</x:v>
      </x:c>
    </x:row>
    <x:row r="93">
      <x:c r="A93" s="23" t="n">
        <x:v>17</x:v>
      </x:c>
      <x:c r="B93" s="23" t="str">
        <x:v>周四</x:v>
      </x:c>
      <x:c r="C93" s="23" t="str">
        <x:v>4月24日</x:v>
      </x:c>
      <x:c r="D93" s="24" t="n">
        <x:v>3295.149</x:v>
      </x:c>
      <x:c r="E93" s="24" t="n">
        <x:v>3313.509</x:v>
      </x:c>
      <x:c r="F93" s="24" t="n">
        <x:v>3286.236</x:v>
      </x:c>
      <x:c r="G93" s="24" t="n">
        <x:v>3297.288</x:v>
      </x:c>
      <x:c r="H93" s="24" t="n">
        <x:v>0.9</x:v>
      </x:c>
      <x:c r="I93" s="25" t="n">
        <x:v>0.00028303990316569383</x:v>
      </x:c>
      <x:c r="J93" s="24" t="n">
        <x:f>ROUND(E93-F93,1)</x:f>
        <x:v>27.3</x:v>
      </x:c>
      <x:c r="K93" s="23" t="str">
        <x:v>上证指数</x:v>
      </x:c>
    </x:row>
    <x:row r="94">
      <x:c r="A94" s="23" t="n">
        <x:v>18</x:v>
      </x:c>
      <x:c r="B94" s="23" t="str">
        <x:v>周五</x:v>
      </x:c>
      <x:c r="C94" s="23" t="str">
        <x:v>4月25日</x:v>
      </x:c>
      <x:c r="D94" s="24" t="n">
        <x:v>3300.392</x:v>
      </x:c>
      <x:c r="E94" s="24" t="n">
        <x:v>3305.262</x:v>
      </x:c>
      <x:c r="F94" s="24" t="n">
        <x:v>3288.755</x:v>
      </x:c>
      <x:c r="G94" s="24" t="n">
        <x:v>3295.06</x:v>
      </x:c>
      <x:c r="H94" s="24" t="n">
        <x:v>-2.2</x:v>
      </x:c>
      <x:c r="I94" s="25" t="n">
        <x:v>-0.0006757068233045338</x:v>
      </x:c>
      <x:c r="J94" s="24" t="n">
        <x:f>ROUND(E94-F94,1)</x:f>
        <x:v>16.5</x:v>
      </x:c>
      <x:c r="K94" s="23" t="str">
        <x:v>上证指数</x:v>
      </x:c>
    </x:row>
    <x:row r="95">
      <x:c r="A95" s="23" t="n">
        <x:v>19</x:v>
      </x:c>
      <x:c r="B95" s="23" t="str">
        <x:v>周一</x:v>
      </x:c>
      <x:c r="C95" s="23" t="str">
        <x:v>4月28日</x:v>
      </x:c>
      <x:c r="D95" s="24" t="n">
        <x:v>3292.056</x:v>
      </x:c>
      <x:c r="E95" s="24" t="n">
        <x:v>3296.932</x:v>
      </x:c>
      <x:c r="F95" s="24" t="n">
        <x:v>3279.877</x:v>
      </x:c>
      <x:c r="G95" s="24" t="n">
        <x:v>3288.415</x:v>
      </x:c>
      <x:c r="H95" s="24" t="n">
        <x:v>-6.6</x:v>
      </x:c>
      <x:c r="I95" s="25" t="n">
        <x:v>-0.0020166552354130562</x:v>
      </x:c>
      <x:c r="J95" s="24" t="n">
        <x:f>ROUND(E95-F95,1)</x:f>
        <x:v>17.1</x:v>
      </x:c>
      <x:c r="K95" s="23" t="str">
        <x:v>上证指数</x:v>
      </x:c>
    </x:row>
    <x:row r="96">
      <x:c r="A96" s="23" t="n">
        <x:v>20</x:v>
      </x:c>
      <x:c r="B96" s="23" t="str">
        <x:v>周二</x:v>
      </x:c>
      <x:c r="C96" s="23" t="str">
        <x:v>4月29日</x:v>
      </x:c>
      <x:c r="D96" s="24" t="n">
        <x:v>3281.445</x:v>
      </x:c>
      <x:c r="E96" s="24" t="n">
        <x:v>3294.982</x:v>
      </x:c>
      <x:c r="F96" s="24" t="n">
        <x:v>3277.627</x:v>
      </x:c>
      <x:c r="G96" s="24" t="n">
        <x:v>3286.655</x:v>
      </x:c>
      <x:c r="H96" s="24" t="n">
        <x:v>-1.8</x:v>
      </x:c>
      <x:c r="I96" s="25" t="n">
        <x:v>-0.000535212252711359</x:v>
      </x:c>
      <x:c r="J96" s="24" t="n">
        <x:f>ROUND(E96-F96,1)</x:f>
        <x:v>17.4</x:v>
      </x:c>
      <x:c r="K96" s="23" t="str">
        <x:v>上证指数</x:v>
      </x:c>
    </x:row>
    <x:row r="97">
      <x:c r="A97" s="23" t="n">
        <x:v>21</x:v>
      </x:c>
      <x:c r="B97" s="23" t="str">
        <x:v>周三</x:v>
      </x:c>
      <x:c r="C97" s="23" t="str">
        <x:v>4月30日</x:v>
      </x:c>
      <x:c r="D97" s="24" t="n">
        <x:v>3284.081</x:v>
      </x:c>
      <x:c r="E97" s="24" t="n">
        <x:v>3292.2</x:v>
      </x:c>
      <x:c r="F97" s="24" t="n">
        <x:v>3277.55</x:v>
      </x:c>
      <x:c r="G97" s="24" t="n">
        <x:v>3279.031</x:v>
      </x:c>
      <x:c r="H97" s="24" t="n">
        <x:v>-7.6</x:v>
      </x:c>
      <x:c r="I97" s="25" t="n">
        <x:v>-0.002319683690560792</x:v>
      </x:c>
      <x:c r="J97" s="24" t="n">
        <x:f>ROUND(E97-F97,1)</x:f>
        <x:v>14.6</x:v>
      </x:c>
      <x:c r="K97" s="23" t="str">
        <x:v>上证指数</x:v>
      </x:c>
    </x:row>
    <x:row r="98">
      <x:c r="A98" s="38" t="str">
        <x:v>合计</x:v>
      </x:c>
      <x:c r="B98" s="37" t="n">
        <x:v>21</x:v>
      </x:c>
      <x:c r="C98" s="37"/>
      <x:c r="D98" s="37"/>
      <x:c r="E98" s="37"/>
      <x:c r="F98" s="37"/>
      <x:c r="G98" s="37"/>
      <x:c r="H98" s="37"/>
      <x:c r="I98" s="37"/>
      <x:c r="J98" s="39" t="n">
        <x:f>ROUND(SUM(J77:J97),1)</x:f>
        <x:v>811.4</x:v>
      </x:c>
      <x:c r="K98" s="37"/>
    </x:row>
    <x:row r="99">
      <x:c r="A99" s="38" t="str">
        <x:v>均值</x:v>
      </x:c>
      <x:c r="B99" s="37"/>
      <x:c r="C99" s="37"/>
      <x:c r="D99" s="37"/>
      <x:c r="E99" s="37"/>
      <x:c r="F99" s="37"/>
      <x:c r="G99" s="37"/>
      <x:c r="H99" s="37"/>
      <x:c r="I99" s="37"/>
      <x:c r="J99" s="41" t="n">
        <x:f>ROUND(IFERROR(AVERAGE(J77:J97),0),1)</x:f>
        <x:v>38.6</x:v>
      </x:c>
      <x:c r="K99" s="37"/>
    </x:row>
    <x:row r="101">
      <x:c r="A101" s="17" t="str">
        <x:v>5月</x:v>
      </x:c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</x:row>
    <x:row r="102">
      <x:c r="A102" s="20" t="str">
        <x:v>序号</x:v>
      </x:c>
      <x:c r="B102" s="20" t="str">
        <x:v>星期</x:v>
      </x:c>
      <x:c r="C102" s="20" t="str">
        <x:v>日期</x:v>
      </x:c>
      <x:c r="D102" s="20" t="str">
        <x:v>开盘</x:v>
      </x:c>
      <x:c r="E102" s="20" t="str">
        <x:v>高点</x:v>
      </x:c>
      <x:c r="F102" s="20" t="str">
        <x:v>低点</x:v>
      </x:c>
      <x:c r="G102" s="20" t="str">
        <x:v>收盘</x:v>
      </x:c>
      <x:c r="H102" s="20" t="str">
        <x:v>涨跌点数</x:v>
      </x:c>
      <x:c r="I102" s="20" t="str">
        <x:v>涨幅</x:v>
      </x:c>
      <x:c r="J102" s="20" t="str">
        <x:v>振幅</x:v>
      </x:c>
      <x:c r="K102" s="20" t="str">
        <x:v>标的</x:v>
      </x:c>
    </x:row>
    <x:row r="103">
      <x:c r="A103" s="23" t="n">
        <x:v>1</x:v>
      </x:c>
      <x:c r="B103" s="23" t="str">
        <x:v>周二</x:v>
      </x:c>
      <x:c r="C103" s="23" t="str">
        <x:v>5月6日</x:v>
      </x:c>
      <x:c r="D103" s="24" t="n">
        <x:v>3295.25</x:v>
      </x:c>
      <x:c r="E103" s="24" t="n">
        <x:v>3316.448</x:v>
      </x:c>
      <x:c r="F103" s="24" t="n">
        <x:v>3286.989</x:v>
      </x:c>
      <x:c r="G103" s="24" t="n">
        <x:v>3316.114</x:v>
      </x:c>
      <x:c r="H103" s="24" t="n">
        <x:v>37.1</x:v>
      </x:c>
      <x:c r="I103" s="25" t="n">
        <x:v>0.011309133704438867</x:v>
      </x:c>
      <x:c r="J103" s="24" t="n">
        <x:f>ROUND(E103-F103,1)</x:f>
        <x:v>29.5</x:v>
      </x:c>
      <x:c r="K103" s="23" t="str">
        <x:v>上证指数</x:v>
      </x:c>
    </x:row>
    <x:row r="104">
      <x:c r="A104" s="23" t="n">
        <x:v>2</x:v>
      </x:c>
      <x:c r="B104" s="23" t="str">
        <x:v>周三</x:v>
      </x:c>
      <x:c r="C104" s="23" t="str">
        <x:v>5月7日</x:v>
      </x:c>
      <x:c r="D104" s="24" t="n">
        <x:v>3354.974</x:v>
      </x:c>
      <x:c r="E104" s="24" t="n">
        <x:v>3356.688</x:v>
      </x:c>
      <x:c r="F104" s="24" t="n">
        <x:v>3324.809</x:v>
      </x:c>
      <x:c r="G104" s="24" t="n">
        <x:v>3342.665</x:v>
      </x:c>
      <x:c r="H104" s="24" t="n">
        <x:v>26.6</x:v>
      </x:c>
      <x:c r="I104" s="25" t="n">
        <x:v>0.008006660808403954</x:v>
      </x:c>
      <x:c r="J104" s="24" t="n">
        <x:f>ROUND(E104-F104,1)</x:f>
        <x:v>31.9</x:v>
      </x:c>
      <x:c r="K104" s="23" t="str">
        <x:v>上证指数</x:v>
      </x:c>
    </x:row>
    <x:row r="105">
      <x:c r="A105" s="23" t="n">
        <x:v>3</x:v>
      </x:c>
      <x:c r="B105" s="23" t="str">
        <x:v>周四</x:v>
      </x:c>
      <x:c r="C105" s="23" t="str">
        <x:v>5月8日</x:v>
      </x:c>
      <x:c r="D105" s="24" t="n">
        <x:v>3331.205</x:v>
      </x:c>
      <x:c r="E105" s="24" t="n">
        <x:v>3359.731</x:v>
      </x:c>
      <x:c r="F105" s="24" t="n">
        <x:v>3327.902</x:v>
      </x:c>
      <x:c r="G105" s="24" t="n">
        <x:v>3351.996</x:v>
      </x:c>
      <x:c r="H105" s="24" t="n">
        <x:v>9.3</x:v>
      </x:c>
      <x:c r="I105" s="25" t="n">
        <x:v>0.002791485237078728</x:v>
      </x:c>
      <x:c r="J105" s="24" t="n">
        <x:f>ROUND(E105-F105,1)</x:f>
        <x:v>31.8</x:v>
      </x:c>
      <x:c r="K105" s="23" t="str">
        <x:v>上证指数</x:v>
      </x:c>
    </x:row>
    <x:row r="106">
      <x:c r="A106" s="23" t="n">
        <x:v>4</x:v>
      </x:c>
      <x:c r="B106" s="23" t="str">
        <x:v>周五</x:v>
      </x:c>
      <x:c r="C106" s="23" t="str">
        <x:v>5月9日</x:v>
      </x:c>
      <x:c r="D106" s="24" t="n">
        <x:v>3350.405</x:v>
      </x:c>
      <x:c r="E106" s="24" t="n">
        <x:v>3351.22</x:v>
      </x:c>
      <x:c r="F106" s="24" t="n">
        <x:v>3335.127</x:v>
      </x:c>
      <x:c r="G106" s="24" t="n">
        <x:v>3341.999</x:v>
      </x:c>
      <x:c r="H106" s="24" t="n">
        <x:v>-10</x:v>
      </x:c>
      <x:c r="I106" s="25" t="n">
        <x:v>-0.0029824021269716505</x:v>
      </x:c>
      <x:c r="J106" s="24" t="n">
        <x:f>ROUND(E106-F106,1)</x:f>
        <x:v>16.1</x:v>
      </x:c>
      <x:c r="K106" s="23" t="str">
        <x:v>上证指数</x:v>
      </x:c>
    </x:row>
    <x:row r="107">
      <x:c r="A107" s="23" t="n">
        <x:v>5</x:v>
      </x:c>
      <x:c r="B107" s="23" t="str">
        <x:v>周一</x:v>
      </x:c>
      <x:c r="C107" s="23" t="str">
        <x:v>5月12日</x:v>
      </x:c>
      <x:c r="D107" s="24" t="n">
        <x:v>3352.97</x:v>
      </x:c>
      <x:c r="E107" s="24" t="n">
        <x:v>3372.472</x:v>
      </x:c>
      <x:c r="F107" s="24" t="n">
        <x:v>3344.269</x:v>
      </x:c>
      <x:c r="G107" s="24" t="n">
        <x:v>3369.245</x:v>
      </x:c>
      <x:c r="H107" s="24" t="n">
        <x:v>27.2</x:v>
      </x:c>
      <x:c r="I107" s="25" t="n">
        <x:v>0.008152605671037039</x:v>
      </x:c>
      <x:c r="J107" s="24" t="n">
        <x:f>ROUND(E107-F107,1)</x:f>
        <x:v>28.2</x:v>
      </x:c>
      <x:c r="K107" s="23" t="str">
        <x:v>上证指数</x:v>
      </x:c>
    </x:row>
    <x:row r="108">
      <x:c r="A108" s="23" t="n">
        <x:v>6</x:v>
      </x:c>
      <x:c r="B108" s="23" t="str">
        <x:v>周二</x:v>
      </x:c>
      <x:c r="C108" s="23" t="str">
        <x:v>5月13日</x:v>
      </x:c>
      <x:c r="D108" s="24" t="n">
        <x:v>3386.234</x:v>
      </x:c>
      <x:c r="E108" s="24" t="n">
        <x:v>3386.234</x:v>
      </x:c>
      <x:c r="F108" s="24" t="n">
        <x:v>3370.252</x:v>
      </x:c>
      <x:c r="G108" s="24" t="n">
        <x:v>3374.871</x:v>
      </x:c>
      <x:c r="H108" s="24" t="n">
        <x:v>5.6</x:v>
      </x:c>
      <x:c r="I108" s="25" t="n">
        <x:v>0.0016698102987464658</x:v>
      </x:c>
      <x:c r="J108" s="24" t="n">
        <x:f>ROUND(E108-F108,1)</x:f>
        <x:v>16</x:v>
      </x:c>
      <x:c r="K108" s="23" t="str">
        <x:v>上证指数</x:v>
      </x:c>
    </x:row>
    <x:row r="109">
      <x:c r="A109" s="23" t="n">
        <x:v>7</x:v>
      </x:c>
      <x:c r="B109" s="23" t="str">
        <x:v>周三</x:v>
      </x:c>
      <x:c r="C109" s="23" t="str">
        <x:v>5月14日</x:v>
      </x:c>
      <x:c r="D109" s="24" t="n">
        <x:v>3374.235</x:v>
      </x:c>
      <x:c r="E109" s="24" t="n">
        <x:v>3417.314</x:v>
      </x:c>
      <x:c r="F109" s="24" t="n">
        <x:v>3368.078</x:v>
      </x:c>
      <x:c r="G109" s="24" t="n">
        <x:v>3403.948</x:v>
      </x:c>
      <x:c r="H109" s="24" t="n">
        <x:v>29.1</x:v>
      </x:c>
      <x:c r="I109" s="25" t="n">
        <x:v>0.008615736720010814</x:v>
      </x:c>
      <x:c r="J109" s="24" t="n">
        <x:f>ROUND(E109-F109,1)</x:f>
        <x:v>49.2</x:v>
      </x:c>
      <x:c r="K109" s="23" t="str">
        <x:v>上证指数</x:v>
      </x:c>
    </x:row>
    <x:row r="110">
      <x:c r="A110" s="23" t="n">
        <x:v>8</x:v>
      </x:c>
      <x:c r="B110" s="23" t="str">
        <x:v>周四</x:v>
      </x:c>
      <x:c r="C110" s="23" t="str">
        <x:v>5月15日</x:v>
      </x:c>
      <x:c r="D110" s="24" t="n">
        <x:v>3398.427</x:v>
      </x:c>
      <x:c r="E110" s="24" t="n">
        <x:v>3402.866</x:v>
      </x:c>
      <x:c r="F110" s="24" t="n">
        <x:v>3378.021</x:v>
      </x:c>
      <x:c r="G110" s="24" t="n">
        <x:v>3380.821</x:v>
      </x:c>
      <x:c r="H110" s="24" t="n">
        <x:v>-23.1</x:v>
      </x:c>
      <x:c r="I110" s="25" t="n">
        <x:v>-0.006794169593660082</x:v>
      </x:c>
      <x:c r="J110" s="24" t="n">
        <x:f>ROUND(E110-F110,1)</x:f>
        <x:v>24.8</x:v>
      </x:c>
      <x:c r="K110" s="23" t="str">
        <x:v>上证指数</x:v>
      </x:c>
    </x:row>
    <x:row r="111">
      <x:c r="A111" s="33" t="n">
        <x:v>9</x:v>
      </x:c>
      <x:c r="B111" s="33" t="str">
        <x:v>周五</x:v>
      </x:c>
      <x:c r="C111" s="33" t="str">
        <x:v>5月16日</x:v>
      </x:c>
      <x:c r="D111" s="34" t="n">
        <x:v>3374.706</x:v>
      </x:c>
      <x:c r="E111" s="34" t="n">
        <x:v>3380.29</x:v>
      </x:c>
      <x:c r="F111" s="34" t="n">
        <x:v>3356.661</x:v>
      </x:c>
      <x:c r="G111" s="34" t="n">
        <x:v>3367.462</x:v>
      </x:c>
      <x:c r="H111" s="34" t="n">
        <x:v>-13.4</x:v>
      </x:c>
      <x:c r="I111" s="35" t="n">
        <x:v>-0.003951407069466284</x:v>
      </x:c>
      <x:c r="J111" s="34" t="n">
        <x:f>ROUND(E111-F111,1)</x:f>
        <x:v>23.6</x:v>
      </x:c>
      <x:c r="K111" s="33" t="str">
        <x:v>上证指数</x:v>
      </x:c>
    </x:row>
    <x:row r="112">
      <x:c r="A112" s="23" t="n">
        <x:v>10</x:v>
      </x:c>
      <x:c r="B112" s="23" t="str">
        <x:v>周一</x:v>
      </x:c>
      <x:c r="C112" s="23" t="str">
        <x:v>5月19日</x:v>
      </x:c>
      <x:c r="D112" s="24" t="n">
        <x:v>3365.882</x:v>
      </x:c>
      <x:c r="E112" s="24" t="n">
        <x:v>3373.599</x:v>
      </x:c>
      <x:c r="F112" s="24" t="n">
        <x:v>3356.648</x:v>
      </x:c>
      <x:c r="G112" s="24" t="n">
        <x:v>3367.583</x:v>
      </x:c>
      <x:c r="H112" s="24" t="n">
        <x:v>0.1</x:v>
      </x:c>
      <x:c r="I112" s="25" t="n">
        <x:v>0.00003593210554431181</x:v>
      </x:c>
      <x:c r="J112" s="24" t="n">
        <x:f>ROUND(E112-F112,1)</x:f>
        <x:v>17</x:v>
      </x:c>
      <x:c r="K112" s="23" t="str">
        <x:v>上证指数</x:v>
      </x:c>
    </x:row>
    <x:row r="113">
      <x:c r="A113" s="23" t="n">
        <x:v>11</x:v>
      </x:c>
      <x:c r="B113" s="23" t="str">
        <x:v>周二</x:v>
      </x:c>
      <x:c r="C113" s="23" t="str">
        <x:v>5月20日</x:v>
      </x:c>
      <x:c r="D113" s="24" t="n">
        <x:v>3371.689</x:v>
      </x:c>
      <x:c r="E113" s="24" t="n">
        <x:v>3387.804</x:v>
      </x:c>
      <x:c r="F113" s="24" t="n">
        <x:v>3369.963</x:v>
      </x:c>
      <x:c r="G113" s="24" t="n">
        <x:v>3380.478</x:v>
      </x:c>
      <x:c r="H113" s="24" t="n">
        <x:v>12.9</x:v>
      </x:c>
      <x:c r="I113" s="25" t="n">
        <x:v>0.0038291558069987186</x:v>
      </x:c>
      <x:c r="J113" s="24" t="n">
        <x:f>ROUND(E113-F113,1)</x:f>
        <x:v>17.8</x:v>
      </x:c>
      <x:c r="K113" s="23" t="str">
        <x:v>上证指数</x:v>
      </x:c>
    </x:row>
    <x:row r="114">
      <x:c r="A114" s="23" t="n">
        <x:v>12</x:v>
      </x:c>
      <x:c r="B114" s="23" t="str">
        <x:v>周三</x:v>
      </x:c>
      <x:c r="C114" s="23" t="str">
        <x:v>5月21日</x:v>
      </x:c>
      <x:c r="D114" s="24" t="n">
        <x:v>3380.209</x:v>
      </x:c>
      <x:c r="E114" s="24" t="n">
        <x:v>3394.754</x:v>
      </x:c>
      <x:c r="F114" s="24" t="n">
        <x:v>3380.209</x:v>
      </x:c>
      <x:c r="G114" s="24" t="n">
        <x:v>3387.574</x:v>
      </x:c>
      <x:c r="H114" s="24" t="n">
        <x:v>7.1</x:v>
      </x:c>
      <x:c r="I114" s="25" t="n">
        <x:v>0.002099111427437128</x:v>
      </x:c>
      <x:c r="J114" s="24" t="n">
        <x:f>ROUND(E114-F114,1)</x:f>
        <x:v>14.5</x:v>
      </x:c>
      <x:c r="K114" s="23" t="str">
        <x:v>上证指数</x:v>
      </x:c>
    </x:row>
    <x:row r="115">
      <x:c r="A115" s="23" t="n">
        <x:v>13</x:v>
      </x:c>
      <x:c r="B115" s="23" t="str">
        <x:v>周四</x:v>
      </x:c>
      <x:c r="C115" s="23" t="str">
        <x:v>5月22日</x:v>
      </x:c>
      <x:c r="D115" s="24" t="n">
        <x:v>3381.865</x:v>
      </x:c>
      <x:c r="E115" s="24" t="n">
        <x:v>3390.593</x:v>
      </x:c>
      <x:c r="F115" s="24" t="n">
        <x:v>3376.233</x:v>
      </x:c>
      <x:c r="G115" s="24" t="n">
        <x:v>3380.189</x:v>
      </x:c>
      <x:c r="H115" s="24" t="n">
        <x:v>-7.4</x:v>
      </x:c>
      <x:c r="I115" s="25" t="n">
        <x:v>-0.00218002617802604</x:v>
      </x:c>
      <x:c r="J115" s="24" t="n">
        <x:f>ROUND(E115-F115,1)</x:f>
        <x:v>14.4</x:v>
      </x:c>
      <x:c r="K115" s="23" t="str">
        <x:v>上证指数</x:v>
      </x:c>
    </x:row>
    <x:row r="116">
      <x:c r="A116" s="23" t="n">
        <x:v>14</x:v>
      </x:c>
      <x:c r="B116" s="23" t="str">
        <x:v>周五</x:v>
      </x:c>
      <x:c r="C116" s="23" t="str">
        <x:v>5月23日</x:v>
      </x:c>
      <x:c r="D116" s="24" t="n">
        <x:v>3376.869</x:v>
      </x:c>
      <x:c r="E116" s="24" t="n">
        <x:v>3389.469</x:v>
      </x:c>
      <x:c r="F116" s="24" t="n">
        <x:v>3348.372</x:v>
      </x:c>
      <x:c r="G116" s="24" t="n">
        <x:v>3348.372</x:v>
      </x:c>
      <x:c r="H116" s="24" t="n">
        <x:v>-31.8</x:v>
      </x:c>
      <x:c r="I116" s="25" t="n">
        <x:v>-0.009412787273137657</x:v>
      </x:c>
      <x:c r="J116" s="24" t="n">
        <x:f>ROUND(E116-F116,1)</x:f>
        <x:v>41.1</x:v>
      </x:c>
      <x:c r="K116" s="23" t="str">
        <x:v>上证指数</x:v>
      </x:c>
    </x:row>
    <x:row r="117">
      <x:c r="A117" s="23" t="n">
        <x:v>15</x:v>
      </x:c>
      <x:c r="B117" s="23" t="str">
        <x:v>周一</x:v>
      </x:c>
      <x:c r="C117" s="23" t="str">
        <x:v>5月26日</x:v>
      </x:c>
      <x:c r="D117" s="24" t="n">
        <x:v>3346.561</x:v>
      </x:c>
      <x:c r="E117" s="24" t="n">
        <x:v>3362.307</x:v>
      </x:c>
      <x:c r="F117" s="24" t="n">
        <x:v>3336.355</x:v>
      </x:c>
      <x:c r="G117" s="24" t="n">
        <x:v>3346.839</x:v>
      </x:c>
      <x:c r="H117" s="24" t="n">
        <x:v>-1.5</x:v>
      </x:c>
      <x:c r="I117" s="25" t="n">
        <x:v>-0.0004578344341668039</x:v>
      </x:c>
      <x:c r="J117" s="24" t="n">
        <x:f>ROUND(E117-F117,1)</x:f>
        <x:v>26</x:v>
      </x:c>
      <x:c r="K117" s="23" t="str">
        <x:v>上证指数</x:v>
      </x:c>
    </x:row>
    <x:row r="118">
      <x:c r="A118" s="23" t="n">
        <x:v>16</x:v>
      </x:c>
      <x:c r="B118" s="23" t="str">
        <x:v>周二</x:v>
      </x:c>
      <x:c r="C118" s="23" t="str">
        <x:v>5月27日</x:v>
      </x:c>
      <x:c r="D118" s="24" t="n">
        <x:v>3346.503</x:v>
      </x:c>
      <x:c r="E118" s="24" t="n">
        <x:v>3351.572</x:v>
      </x:c>
      <x:c r="F118" s="24" t="n">
        <x:v>3332.49</x:v>
      </x:c>
      <x:c r="G118" s="24" t="n">
        <x:v>3340.687</x:v>
      </x:c>
      <x:c r="H118" s="24" t="n">
        <x:v>-6.2</x:v>
      </x:c>
      <x:c r="I118" s="25" t="n">
        <x:v>-0.0018381523580907055</x:v>
      </x:c>
      <x:c r="J118" s="24" t="n">
        <x:f>ROUND(E118-F118,1)</x:f>
        <x:v>19.1</x:v>
      </x:c>
      <x:c r="K118" s="23" t="str">
        <x:v>上证指数</x:v>
      </x:c>
    </x:row>
    <x:row r="119">
      <x:c r="A119" s="23" t="n">
        <x:v>17</x:v>
      </x:c>
      <x:c r="B119" s="23" t="str">
        <x:v>周三</x:v>
      </x:c>
      <x:c r="C119" s="23" t="str">
        <x:v>5月28日</x:v>
      </x:c>
      <x:c r="D119" s="24" t="n">
        <x:v>3341.852</x:v>
      </x:c>
      <x:c r="E119" s="24" t="n">
        <x:v>3348.234</x:v>
      </x:c>
      <x:c r="F119" s="24" t="n">
        <x:v>3336.727</x:v>
      </x:c>
      <x:c r="G119" s="24" t="n">
        <x:v>3339.932</x:v>
      </x:c>
      <x:c r="H119" s="24" t="n">
        <x:v>-0.8</x:v>
      </x:c>
      <x:c r="I119" s="25" t="n">
        <x:v>-0.00022600141827122666</x:v>
      </x:c>
      <x:c r="J119" s="24" t="n">
        <x:f>ROUND(E119-F119,1)</x:f>
        <x:v>11.5</x:v>
      </x:c>
      <x:c r="K119" s="23" t="str">
        <x:v>上证指数</x:v>
      </x:c>
    </x:row>
    <x:row r="120">
      <x:c r="A120" s="23" t="n">
        <x:v>18</x:v>
      </x:c>
      <x:c r="B120" s="23" t="str">
        <x:v>周四</x:v>
      </x:c>
      <x:c r="C120" s="23" t="str">
        <x:v>5月29日</x:v>
      </x:c>
      <x:c r="D120" s="24" t="n">
        <x:v>3340.401</x:v>
      </x:c>
      <x:c r="E120" s="24" t="n">
        <x:v>3368.633</x:v>
      </x:c>
      <x:c r="F120" s="24" t="n">
        <x:v>3337.415</x:v>
      </x:c>
      <x:c r="G120" s="24" t="n">
        <x:v>3363.446</x:v>
      </x:c>
      <x:c r="H120" s="24" t="n">
        <x:v>23.5</x:v>
      </x:c>
      <x:c r="I120" s="25" t="n">
        <x:v>0.007040263095176913</x:v>
      </x:c>
      <x:c r="J120" s="24" t="n">
        <x:f>ROUND(E120-F120,1)</x:f>
        <x:v>31.2</x:v>
      </x:c>
      <x:c r="K120" s="23" t="str">
        <x:v>上证指数</x:v>
      </x:c>
    </x:row>
    <x:row r="121">
      <x:c r="A121" s="23" t="n">
        <x:v>19</x:v>
      </x:c>
      <x:c r="B121" s="23" t="str">
        <x:v>周五</x:v>
      </x:c>
      <x:c r="C121" s="23" t="str">
        <x:v>5月30日</x:v>
      </x:c>
      <x:c r="D121" s="24" t="n">
        <x:v>3358.809</x:v>
      </x:c>
      <x:c r="E121" s="24" t="n">
        <x:v>3361.275</x:v>
      </x:c>
      <x:c r="F121" s="24" t="n">
        <x:v>3341.648</x:v>
      </x:c>
      <x:c r="G121" s="24" t="n">
        <x:v>3347.487</x:v>
      </x:c>
      <x:c r="H121" s="24" t="n">
        <x:v>-16</x:v>
      </x:c>
      <x:c r="I121" s="25" t="n">
        <x:v>-0.004744836099643046</x:v>
      </x:c>
      <x:c r="J121" s="24" t="n">
        <x:f>ROUND(E121-F121,1)</x:f>
        <x:v>19.6</x:v>
      </x:c>
      <x:c r="K121" s="23" t="str">
        <x:v>上证指数</x:v>
      </x:c>
    </x:row>
    <x:row r="122">
      <x:c r="A122" s="38" t="str">
        <x:v>合计</x:v>
      </x:c>
      <x:c r="B122" s="37" t="n">
        <x:v>19</x:v>
      </x:c>
      <x:c r="C122" s="37"/>
      <x:c r="D122" s="37"/>
      <x:c r="E122" s="37"/>
      <x:c r="F122" s="37"/>
      <x:c r="G122" s="37"/>
      <x:c r="H122" s="37"/>
      <x:c r="I122" s="37"/>
      <x:c r="J122" s="39" t="n">
        <x:f>ROUND(SUM(J103:J121),1)</x:f>
        <x:v>463.3</x:v>
      </x:c>
      <x:c r="K122" s="37"/>
    </x:row>
    <x:row r="123">
      <x:c r="A123" s="38" t="str">
        <x:v>均值</x:v>
      </x:c>
      <x:c r="B123" s="37"/>
      <x:c r="C123" s="37"/>
      <x:c r="D123" s="37"/>
      <x:c r="E123" s="37"/>
      <x:c r="F123" s="37"/>
      <x:c r="G123" s="37"/>
      <x:c r="H123" s="37"/>
      <x:c r="I123" s="37"/>
      <x:c r="J123" s="41" t="n">
        <x:f>ROUND(IFERROR(AVERAGE(J103:J121),0),1)</x:f>
        <x:v>24.4</x:v>
      </x:c>
      <x:c r="K123" s="37"/>
    </x:row>
    <x:row r="125">
      <x:c r="A125" s="17" t="str">
        <x:v>6月</x:v>
      </x:c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</x:row>
    <x:row r="126">
      <x:c r="A126" s="20" t="str">
        <x:v>序号</x:v>
      </x:c>
      <x:c r="B126" s="20" t="str">
        <x:v>星期</x:v>
      </x:c>
      <x:c r="C126" s="20" t="str">
        <x:v>日期</x:v>
      </x:c>
      <x:c r="D126" s="20" t="str">
        <x:v>开盘</x:v>
      </x:c>
      <x:c r="E126" s="20" t="str">
        <x:v>高点</x:v>
      </x:c>
      <x:c r="F126" s="20" t="str">
        <x:v>低点</x:v>
      </x:c>
      <x:c r="G126" s="20" t="str">
        <x:v>收盘</x:v>
      </x:c>
      <x:c r="H126" s="20" t="str">
        <x:v>涨跌点数</x:v>
      </x:c>
      <x:c r="I126" s="20" t="str">
        <x:v>涨幅</x:v>
      </x:c>
      <x:c r="J126" s="20" t="str">
        <x:v>振幅</x:v>
      </x:c>
      <x:c r="K126" s="20" t="str">
        <x:v>标的</x:v>
      </x:c>
    </x:row>
    <x:row r="127">
      <x:c r="A127" s="23" t="n">
        <x:v>1</x:v>
      </x:c>
      <x:c r="B127" s="23" t="str">
        <x:v>周二</x:v>
      </x:c>
      <x:c r="C127" s="23" t="str">
        <x:v>6月3日</x:v>
      </x:c>
      <x:c r="D127" s="24" t="n">
        <x:v>3340.067</x:v>
      </x:c>
      <x:c r="E127" s="24" t="n">
        <x:v>3366.997</x:v>
      </x:c>
      <x:c r="F127" s="24" t="n">
        <x:v>3340.067</x:v>
      </x:c>
      <x:c r="G127" s="24" t="n">
        <x:v>3361.976</x:v>
      </x:c>
      <x:c r="H127" s="24" t="n">
        <x:v>14.5</x:v>
      </x:c>
      <x:c r="I127" s="25" t="n">
        <x:v>0.0043283215140192954</x:v>
      </x:c>
      <x:c r="J127" s="24" t="n">
        <x:f>ROUND(E127-F127,1)</x:f>
        <x:v>26.9</x:v>
      </x:c>
      <x:c r="K127" s="23" t="str">
        <x:v>上证指数</x:v>
      </x:c>
    </x:row>
    <x:row r="128">
      <x:c r="A128" s="23" t="n">
        <x:v>2</x:v>
      </x:c>
      <x:c r="B128" s="23" t="str">
        <x:v>周三</x:v>
      </x:c>
      <x:c r="C128" s="23" t="str">
        <x:v>6月4日</x:v>
      </x:c>
      <x:c r="D128" s="24" t="n">
        <x:v>3363.391</x:v>
      </x:c>
      <x:c r="E128" s="24" t="n">
        <x:v>3379.64</x:v>
      </x:c>
      <x:c r="F128" s="24" t="n">
        <x:v>3363.391</x:v>
      </x:c>
      <x:c r="G128" s="24" t="n">
        <x:v>3376.203</x:v>
      </x:c>
      <x:c r="H128" s="24" t="n">
        <x:v>14.2</x:v>
      </x:c>
      <x:c r="I128" s="25" t="n">
        <x:v>0.004231737525788315</x:v>
      </x:c>
      <x:c r="J128" s="24" t="n">
        <x:f>ROUND(E128-F128,1)</x:f>
        <x:v>16.2</x:v>
      </x:c>
      <x:c r="K128" s="23" t="str">
        <x:v>上证指数</x:v>
      </x:c>
    </x:row>
    <x:row r="129">
      <x:c r="A129" s="23" t="n">
        <x:v>3</x:v>
      </x:c>
      <x:c r="B129" s="23" t="str">
        <x:v>周四</x:v>
      </x:c>
      <x:c r="C129" s="23" t="str">
        <x:v>6月5日</x:v>
      </x:c>
      <x:c r="D129" s="24" t="n">
        <x:v>3378.217</x:v>
      </x:c>
      <x:c r="E129" s="24" t="n">
        <x:v>3387.765</x:v>
      </x:c>
      <x:c r="F129" s="24" t="n">
        <x:v>3371.146</x:v>
      </x:c>
      <x:c r="G129" s="24" t="n">
        <x:v>3384.099</x:v>
      </x:c>
      <x:c r="H129" s="24" t="n">
        <x:v>7.9</x:v>
      </x:c>
      <x:c r="I129" s="25" t="n">
        <x:v>0.002338721931116172</x:v>
      </x:c>
      <x:c r="J129" s="24" t="n">
        <x:f>ROUND(E129-F129,1)</x:f>
        <x:v>16.6</x:v>
      </x:c>
      <x:c r="K129" s="23" t="str">
        <x:v>上证指数</x:v>
      </x:c>
    </x:row>
    <x:row r="130">
      <x:c r="A130" s="23" t="n">
        <x:v>4</x:v>
      </x:c>
      <x:c r="B130" s="23" t="str">
        <x:v>周五</x:v>
      </x:c>
      <x:c r="C130" s="23" t="str">
        <x:v>6月6日</x:v>
      </x:c>
      <x:c r="D130" s="24" t="n">
        <x:v>3384.295</x:v>
      </x:c>
      <x:c r="E130" s="24" t="n">
        <x:v>3391.451</x:v>
      </x:c>
      <x:c r="F130" s="24" t="n">
        <x:v>3379.764</x:v>
      </x:c>
      <x:c r="G130" s="24" t="n">
        <x:v>3385.358</x:v>
      </x:c>
      <x:c r="H130" s="24" t="n">
        <x:v>1.3</x:v>
      </x:c>
      <x:c r="I130" s="25" t="n">
        <x:v>0.0003720340332833416</x:v>
      </x:c>
      <x:c r="J130" s="24" t="n">
        <x:f>ROUND(E130-F130,1)</x:f>
        <x:v>11.7</x:v>
      </x:c>
      <x:c r="K130" s="23" t="str">
        <x:v>上证指数</x:v>
      </x:c>
    </x:row>
    <x:row r="131">
      <x:c r="A131" s="23" t="n">
        <x:v>5</x:v>
      </x:c>
      <x:c r="B131" s="23" t="str">
        <x:v>周一</x:v>
      </x:c>
      <x:c r="C131" s="23" t="str">
        <x:v>6月9日</x:v>
      </x:c>
      <x:c r="D131" s="24" t="n">
        <x:v>3388.778</x:v>
      </x:c>
      <x:c r="E131" s="24" t="n">
        <x:v>3402.05</x:v>
      </x:c>
      <x:c r="F131" s="24" t="n">
        <x:v>3383.074</x:v>
      </x:c>
      <x:c r="G131" s="24" t="n">
        <x:v>3399.772</x:v>
      </x:c>
      <x:c r="H131" s="24" t="n">
        <x:v>14.4</x:v>
      </x:c>
      <x:c r="I131" s="25" t="n">
        <x:v>0.004257747629645037</x:v>
      </x:c>
      <x:c r="J131" s="24" t="n">
        <x:f>ROUND(E131-F131,1)</x:f>
        <x:v>19</x:v>
      </x:c>
      <x:c r="K131" s="23" t="str">
        <x:v>上证指数</x:v>
      </x:c>
    </x:row>
    <x:row r="132">
      <x:c r="A132" s="23" t="n">
        <x:v>6</x:v>
      </x:c>
      <x:c r="B132" s="23" t="str">
        <x:v>周二</x:v>
      </x:c>
      <x:c r="C132" s="23" t="str">
        <x:v>6月10日</x:v>
      </x:c>
      <x:c r="D132" s="24" t="n">
        <x:v>3402.013</x:v>
      </x:c>
      <x:c r="E132" s="24" t="n">
        <x:v>3406.452</x:v>
      </x:c>
      <x:c r="F132" s="24" t="n">
        <x:v>3365.667</x:v>
      </x:c>
      <x:c r="G132" s="24" t="n">
        <x:v>3384.816</x:v>
      </x:c>
      <x:c r="H132" s="24" t="n">
        <x:v>-15</x:v>
      </x:c>
      <x:c r="I132" s="25" t="n">
        <x:v>-0.00439911852912489</x:v>
      </x:c>
      <x:c r="J132" s="24" t="n">
        <x:f>ROUND(E132-F132,1)</x:f>
        <x:v>40.8</x:v>
      </x:c>
      <x:c r="K132" s="23" t="str">
        <x:v>上证指数</x:v>
      </x:c>
    </x:row>
    <x:row r="133">
      <x:c r="A133" s="23" t="n">
        <x:v>7</x:v>
      </x:c>
      <x:c r="B133" s="23" t="str">
        <x:v>周三</x:v>
      </x:c>
      <x:c r="C133" s="23" t="str">
        <x:v>6月11日</x:v>
      </x:c>
      <x:c r="D133" s="24" t="n">
        <x:v>3385.457</x:v>
      </x:c>
      <x:c r="E133" s="24" t="n">
        <x:v>3413.513</x:v>
      </x:c>
      <x:c r="F133" s="24" t="n">
        <x:v>3385.457</x:v>
      </x:c>
      <x:c r="G133" s="24" t="n">
        <x:v>3402.316</x:v>
      </x:c>
      <x:c r="H133" s="24" t="n">
        <x:v>17.5</x:v>
      </x:c>
      <x:c r="I133" s="25" t="n">
        <x:v>0.005170148096676375</x:v>
      </x:c>
      <x:c r="J133" s="24" t="n">
        <x:f>ROUND(E133-F133,1)</x:f>
        <x:v>28.1</x:v>
      </x:c>
      <x:c r="K133" s="23" t="str">
        <x:v>上证指数</x:v>
      </x:c>
    </x:row>
    <x:row r="134">
      <x:c r="A134" s="23" t="n">
        <x:v>8</x:v>
      </x:c>
      <x:c r="B134" s="23" t="str">
        <x:v>周四</x:v>
      </x:c>
      <x:c r="C134" s="23" t="str">
        <x:v>6月12日</x:v>
      </x:c>
      <x:c r="D134" s="24" t="n">
        <x:v>3397.972</x:v>
      </x:c>
      <x:c r="E134" s="24" t="n">
        <x:v>3408.205</x:v>
      </x:c>
      <x:c r="F134" s="24" t="n">
        <x:v>3388.866</x:v>
      </x:c>
      <x:c r="G134" s="24" t="n">
        <x:v>3402.658</x:v>
      </x:c>
      <x:c r="H134" s="24" t="n">
        <x:v>0.3</x:v>
      </x:c>
      <x:c r="I134" s="25" t="n">
        <x:v>0.00010051976359637393</x:v>
      </x:c>
      <x:c r="J134" s="24" t="n">
        <x:f>ROUND(E134-F134,1)</x:f>
        <x:v>19.3</x:v>
      </x:c>
      <x:c r="K134" s="23" t="str">
        <x:v>上证指数</x:v>
      </x:c>
    </x:row>
    <x:row r="135">
      <x:c r="A135" s="23" t="n">
        <x:v>9</x:v>
      </x:c>
      <x:c r="B135" s="23" t="str">
        <x:v>周五</x:v>
      </x:c>
      <x:c r="C135" s="23" t="str">
        <x:v>6月13日</x:v>
      </x:c>
      <x:c r="D135" s="24" t="n">
        <x:v>3397.484</x:v>
      </x:c>
      <x:c r="E135" s="24" t="n">
        <x:v>3401.553</x:v>
      </x:c>
      <x:c r="F135" s="24" t="n">
        <x:v>3370.592</x:v>
      </x:c>
      <x:c r="G135" s="24" t="n">
        <x:v>3376.996</x:v>
      </x:c>
      <x:c r="H135" s="24" t="n">
        <x:v>-25.7</x:v>
      </x:c>
      <x:c r="I135" s="25" t="n">
        <x:v>-0.007541751183927303</x:v>
      </x:c>
      <x:c r="J135" s="24" t="n">
        <x:f>ROUND(E135-F135,1)</x:f>
        <x:v>31</x:v>
      </x:c>
      <x:c r="K135" s="23" t="str">
        <x:v>上证指数</x:v>
      </x:c>
    </x:row>
    <x:row r="136">
      <x:c r="A136" s="23" t="n">
        <x:v>10</x:v>
      </x:c>
      <x:c r="B136" s="23" t="str">
        <x:v>周一</x:v>
      </x:c>
      <x:c r="C136" s="23" t="str">
        <x:v>6月16日</x:v>
      </x:c>
      <x:c r="D136" s="24" t="n">
        <x:v>3369.366</x:v>
      </x:c>
      <x:c r="E136" s="24" t="n">
        <x:v>3389.756</x:v>
      </x:c>
      <x:c r="F136" s="24" t="n">
        <x:v>3368.876</x:v>
      </x:c>
      <x:c r="G136" s="24" t="n">
        <x:v>3388.729</x:v>
      </x:c>
      <x:c r="H136" s="24" t="n">
        <x:v>11.7</x:v>
      </x:c>
      <x:c r="I136" s="25" t="n">
        <x:v>0.0034743896646605155</x:v>
      </x:c>
      <x:c r="J136" s="24" t="n">
        <x:f>ROUND(E136-F136,1)</x:f>
        <x:v>20.9</x:v>
      </x:c>
      <x:c r="K136" s="23" t="str">
        <x:v>上证指数</x:v>
      </x:c>
    </x:row>
    <x:row r="137">
      <x:c r="A137" s="23" t="n">
        <x:v>11</x:v>
      </x:c>
      <x:c r="B137" s="23" t="str">
        <x:v>周二</x:v>
      </x:c>
      <x:c r="C137" s="23" t="str">
        <x:v>6月17日</x:v>
      </x:c>
      <x:c r="D137" s="24" t="n">
        <x:v>3388.18</x:v>
      </x:c>
      <x:c r="E137" s="24" t="n">
        <x:v>3393.313</x:v>
      </x:c>
      <x:c r="F137" s="24" t="n">
        <x:v>3376.42</x:v>
      </x:c>
      <x:c r="G137" s="24" t="n">
        <x:v>3387.405</x:v>
      </x:c>
      <x:c r="H137" s="24" t="n">
        <x:v>-1.3</x:v>
      </x:c>
      <x:c r="I137" s="25" t="n">
        <x:v>-0.0003907069582724798</x:v>
      </x:c>
      <x:c r="J137" s="24" t="n">
        <x:f>ROUND(E137-F137,1)</x:f>
        <x:v>16.9</x:v>
      </x:c>
      <x:c r="K137" s="23" t="str">
        <x:v>上证指数</x:v>
      </x:c>
    </x:row>
    <x:row r="138">
      <x:c r="A138" s="23" t="n">
        <x:v>12</x:v>
      </x:c>
      <x:c r="B138" s="23" t="str">
        <x:v>周三</x:v>
      </x:c>
      <x:c r="C138" s="23" t="str">
        <x:v>6月18日</x:v>
      </x:c>
      <x:c r="D138" s="24" t="n">
        <x:v>3386.136</x:v>
      </x:c>
      <x:c r="E138" s="24" t="n">
        <x:v>3391.709</x:v>
      </x:c>
      <x:c r="F138" s="24" t="n">
        <x:v>3369.986</x:v>
      </x:c>
      <x:c r="G138" s="24" t="n">
        <x:v>3388.809</x:v>
      </x:c>
      <x:c r="H138" s="24" t="n">
        <x:v>1.4</x:v>
      </x:c>
      <x:c r="I138" s="25" t="n">
        <x:v>0.00041447656834647795</x:v>
      </x:c>
      <x:c r="J138" s="24" t="n">
        <x:f>ROUND(E138-F138,1)</x:f>
        <x:v>21.7</x:v>
      </x:c>
      <x:c r="K138" s="23" t="str">
        <x:v>上证指数</x:v>
      </x:c>
    </x:row>
    <x:row r="139">
      <x:c r="A139" s="23" t="n">
        <x:v>13</x:v>
      </x:c>
      <x:c r="B139" s="23" t="str">
        <x:v>周四</x:v>
      </x:c>
      <x:c r="C139" s="23" t="str">
        <x:v>6月19日</x:v>
      </x:c>
      <x:c r="D139" s="24" t="n">
        <x:v>3384.293</x:v>
      </x:c>
      <x:c r="E139" s="24" t="n">
        <x:v>3386.919</x:v>
      </x:c>
      <x:c r="F139" s="24" t="n">
        <x:v>3353.936</x:v>
      </x:c>
      <x:c r="G139" s="24" t="n">
        <x:v>3362.108</x:v>
      </x:c>
      <x:c r="H139" s="24" t="n">
        <x:v>-26.7</x:v>
      </x:c>
      <x:c r="I139" s="25" t="n">
        <x:v>-0.007879169348287252</x:v>
      </x:c>
      <x:c r="J139" s="24" t="n">
        <x:f>ROUND(E139-F139,1)</x:f>
        <x:v>33</x:v>
      </x:c>
      <x:c r="K139" s="23" t="str">
        <x:v>上证指数</x:v>
      </x:c>
    </x:row>
    <x:row r="140">
      <x:c r="A140" s="33" t="n">
        <x:v>14</x:v>
      </x:c>
      <x:c r="B140" s="33" t="str">
        <x:v>周五</x:v>
      </x:c>
      <x:c r="C140" s="33" t="str">
        <x:v>6月20日</x:v>
      </x:c>
      <x:c r="D140" s="34" t="n">
        <x:v>3358.913</x:v>
      </x:c>
      <x:c r="E140" s="34" t="n">
        <x:v>3370.798</x:v>
      </x:c>
      <x:c r="F140" s="34" t="n">
        <x:v>3357.706</x:v>
      </x:c>
      <x:c r="G140" s="34" t="n">
        <x:v>3359.895</x:v>
      </x:c>
      <x:c r="H140" s="34" t="n">
        <x:v>-2.2</x:v>
      </x:c>
      <x:c r="I140" s="35" t="n">
        <x:v>-0.0006582179989459425</x:v>
      </x:c>
      <x:c r="J140" s="34" t="n">
        <x:f>ROUND(E140-F140,1)</x:f>
        <x:v>13.1</x:v>
      </x:c>
      <x:c r="K140" s="33" t="str">
        <x:v>上证指数</x:v>
      </x:c>
    </x:row>
    <x:row r="141">
      <x:c r="A141" s="23" t="n">
        <x:v>15</x:v>
      </x:c>
      <x:c r="B141" s="23" t="str">
        <x:v>周一</x:v>
      </x:c>
      <x:c r="C141" s="23" t="str">
        <x:v>6月23日</x:v>
      </x:c>
      <x:c r="D141" s="24" t="n">
        <x:v>3349.46</x:v>
      </x:c>
      <x:c r="E141" s="24" t="n">
        <x:v>3389.452</x:v>
      </x:c>
      <x:c r="F141" s="24" t="n">
        <x:v>3347.651</x:v>
      </x:c>
      <x:c r="G141" s="24" t="n">
        <x:v>3381.582</x:v>
      </x:c>
      <x:c r="H141" s="24" t="n">
        <x:v>21.7</x:v>
      </x:c>
      <x:c r="I141" s="25" t="n">
        <x:v>0.006454665994026554</x:v>
      </x:c>
      <x:c r="J141" s="24" t="n">
        <x:f>ROUND(E141-F141,1)</x:f>
        <x:v>41.8</x:v>
      </x:c>
      <x:c r="K141" s="23" t="str">
        <x:v>上证指数</x:v>
      </x:c>
    </x:row>
    <x:row r="142">
      <x:c r="A142" s="23" t="n">
        <x:v>16</x:v>
      </x:c>
      <x:c r="B142" s="23" t="str">
        <x:v>周二</x:v>
      </x:c>
      <x:c r="C142" s="23" t="str">
        <x:v>6月24日</x:v>
      </x:c>
      <x:c r="D142" s="24" t="n">
        <x:v>3380.08</x:v>
      </x:c>
      <x:c r="E142" s="24" t="n">
        <x:v>3423.784</x:v>
      </x:c>
      <x:c r="F142" s="24" t="n">
        <x:v>3380.08</x:v>
      </x:c>
      <x:c r="G142" s="24" t="n">
        <x:v>3420.566</x:v>
      </x:c>
      <x:c r="H142" s="24" t="n">
        <x:v>39</x:v>
      </x:c>
      <x:c r="I142" s="25" t="n">
        <x:v>0.011528332005552366</x:v>
      </x:c>
      <x:c r="J142" s="24" t="n">
        <x:f>ROUND(E142-F142,1)</x:f>
        <x:v>43.7</x:v>
      </x:c>
      <x:c r="K142" s="23" t="str">
        <x:v>上证指数</x:v>
      </x:c>
    </x:row>
    <x:row r="143">
      <x:c r="A143" s="23" t="n">
        <x:v>17</x:v>
      </x:c>
      <x:c r="B143" s="23" t="str">
        <x:v>周三</x:v>
      </x:c>
      <x:c r="C143" s="23" t="str">
        <x:v>6月25日</x:v>
      </x:c>
      <x:c r="D143" s="24" t="n">
        <x:v>3419.091</x:v>
      </x:c>
      <x:c r="E143" s="24" t="n">
        <x:v>3459.009</x:v>
      </x:c>
      <x:c r="F143" s="24" t="n">
        <x:v>3417.411</x:v>
      </x:c>
      <x:c r="G143" s="24" t="n">
        <x:v>3455.974</x:v>
      </x:c>
      <x:c r="H143" s="24" t="n">
        <x:v>35.4</x:v>
      </x:c>
      <x:c r="I143" s="25" t="n">
        <x:v>0.010351503230751957</x:v>
      </x:c>
      <x:c r="J143" s="24" t="n">
        <x:f>ROUND(E143-F143,1)</x:f>
        <x:v>41.6</x:v>
      </x:c>
      <x:c r="K143" s="23" t="str">
        <x:v>上证指数</x:v>
      </x:c>
    </x:row>
    <x:row r="144">
      <x:c r="A144" s="23" t="n">
        <x:v>18</x:v>
      </x:c>
      <x:c r="B144" s="23" t="str">
        <x:v>周四</x:v>
      </x:c>
      <x:c r="C144" s="23" t="str">
        <x:v>6月26日</x:v>
      </x:c>
      <x:c r="D144" s="24" t="n">
        <x:v>3451.719</x:v>
      </x:c>
      <x:c r="E144" s="24" t="n">
        <x:v>3462.752</x:v>
      </x:c>
      <x:c r="F144" s="24" t="n">
        <x:v>3446.186</x:v>
      </x:c>
      <x:c r="G144" s="24" t="n">
        <x:v>3448.453</x:v>
      </x:c>
      <x:c r="H144" s="24" t="n">
        <x:v>-7.5</x:v>
      </x:c>
      <x:c r="I144" s="25" t="n">
        <x:v>-0.002176231649890892</x:v>
      </x:c>
      <x:c r="J144" s="24" t="n">
        <x:f>ROUND(E144-F144,1)</x:f>
        <x:v>16.6</x:v>
      </x:c>
      <x:c r="K144" s="23" t="str">
        <x:v>上证指数</x:v>
      </x:c>
    </x:row>
    <x:row r="145">
      <x:c r="A145" s="23" t="n">
        <x:v>19</x:v>
      </x:c>
      <x:c r="B145" s="23" t="str">
        <x:v>周五</x:v>
      </x:c>
      <x:c r="C145" s="23" t="str">
        <x:v>6月27日</x:v>
      </x:c>
      <x:c r="D145" s="24" t="n">
        <x:v>3450.686</x:v>
      </x:c>
      <x:c r="E145" s="24" t="n">
        <x:v>3462.627</x:v>
      </x:c>
      <x:c r="F145" s="24" t="n">
        <x:v>3421.04</x:v>
      </x:c>
      <x:c r="G145" s="24" t="n">
        <x:v>3424.227</x:v>
      </x:c>
      <x:c r="H145" s="24" t="n">
        <x:v>-24.2</x:v>
      </x:c>
      <x:c r="I145" s="25" t="n">
        <x:v>-0.007025179116548763</x:v>
      </x:c>
      <x:c r="J145" s="24" t="n">
        <x:f>ROUND(E145-F145,1)</x:f>
        <x:v>41.6</x:v>
      </x:c>
      <x:c r="K145" s="23" t="str">
        <x:v>上证指数</x:v>
      </x:c>
    </x:row>
    <x:row r="146">
      <x:c r="A146" s="23" t="n">
        <x:v>20</x:v>
      </x:c>
      <x:c r="B146" s="23" t="str">
        <x:v>周一</x:v>
      </x:c>
      <x:c r="C146" s="23" t="str">
        <x:v>6月30日</x:v>
      </x:c>
      <x:c r="D146" s="24" t="n">
        <x:v>3423.474</x:v>
      </x:c>
      <x:c r="E146" s="24" t="n">
        <x:v>3447.46</x:v>
      </x:c>
      <x:c r="F146" s="24" t="n">
        <x:v>3420.112</x:v>
      </x:c>
      <x:c r="G146" s="24" t="n">
        <x:v>3444.426</x:v>
      </x:c>
      <x:c r="H146" s="24" t="n">
        <x:v>20.2</x:v>
      </x:c>
      <x:c r="I146" s="25" t="n">
        <x:v>0.005898849579773824</x:v>
      </x:c>
      <x:c r="J146" s="24" t="n">
        <x:f>ROUND(E146-F146,1)</x:f>
        <x:v>27.3</x:v>
      </x:c>
      <x:c r="K146" s="23" t="str">
        <x:v>上证指数</x:v>
      </x:c>
    </x:row>
    <x:row r="147">
      <x:c r="A147" s="38" t="str">
        <x:v>合计</x:v>
      </x:c>
      <x:c r="B147" s="37" t="n">
        <x:v>20</x:v>
      </x:c>
      <x:c r="C147" s="37"/>
      <x:c r="D147" s="37"/>
      <x:c r="E147" s="37"/>
      <x:c r="F147" s="37"/>
      <x:c r="G147" s="37"/>
      <x:c r="H147" s="37"/>
      <x:c r="I147" s="37"/>
      <x:c r="J147" s="39" t="n">
        <x:f>ROUND(SUM(J127:J146),1)</x:f>
        <x:v>527.8</x:v>
      </x:c>
      <x:c r="K147" s="37"/>
    </x:row>
    <x:row r="148">
      <x:c r="A148" s="38" t="str">
        <x:v>均值</x:v>
      </x:c>
      <x:c r="B148" s="37"/>
      <x:c r="C148" s="37"/>
      <x:c r="D148" s="37"/>
      <x:c r="E148" s="37"/>
      <x:c r="F148" s="37"/>
      <x:c r="G148" s="37"/>
      <x:c r="H148" s="37"/>
      <x:c r="I148" s="37"/>
      <x:c r="J148" s="41" t="n">
        <x:f>ROUND(IFERROR(AVERAGE(J127:J146),0),1)</x:f>
        <x:v>26.4</x:v>
      </x:c>
      <x:c r="K148" s="37"/>
    </x:row>
    <x:row r="150">
      <x:c r="A150" s="17" t="str">
        <x:v>7月</x:v>
      </x:c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</x:row>
    <x:row r="151">
      <x:c r="A151" s="20" t="str">
        <x:v>序号</x:v>
      </x:c>
      <x:c r="B151" s="20" t="str">
        <x:v>星期</x:v>
      </x:c>
      <x:c r="C151" s="20" t="str">
        <x:v>日期</x:v>
      </x:c>
      <x:c r="D151" s="20" t="str">
        <x:v>开盘</x:v>
      </x:c>
      <x:c r="E151" s="20" t="str">
        <x:v>高点</x:v>
      </x:c>
      <x:c r="F151" s="20" t="str">
        <x:v>低点</x:v>
      </x:c>
      <x:c r="G151" s="20" t="str">
        <x:v>收盘</x:v>
      </x:c>
      <x:c r="H151" s="20" t="str">
        <x:v>涨跌点数</x:v>
      </x:c>
      <x:c r="I151" s="20" t="str">
        <x:v>涨幅</x:v>
      </x:c>
      <x:c r="J151" s="20" t="str">
        <x:v>振幅</x:v>
      </x:c>
      <x:c r="K151" s="20" t="str">
        <x:v>标的</x:v>
      </x:c>
    </x:row>
    <x:row r="152">
      <x:c r="A152" s="23" t="n">
        <x:v>1</x:v>
      </x:c>
      <x:c r="B152" s="23" t="str">
        <x:v>周二</x:v>
      </x:c>
      <x:c r="C152" s="23" t="str">
        <x:v>7月1日</x:v>
      </x:c>
      <x:c r="D152" s="24" t="n">
        <x:v>3445.846</x:v>
      </x:c>
      <x:c r="E152" s="24" t="n">
        <x:v>3459.587</x:v>
      </x:c>
      <x:c r="F152" s="24" t="n">
        <x:v>3441.038</x:v>
      </x:c>
      <x:c r="G152" s="24" t="n">
        <x:v>3457.747</x:v>
      </x:c>
      <x:c r="H152" s="24" t="n">
        <x:v>13.3</x:v>
      </x:c>
      <x:c r="I152" s="25" t="n">
        <x:v>0.003867407806119161</x:v>
      </x:c>
      <x:c r="J152" s="24" t="n">
        <x:f>ROUND(E152-F152,1)</x:f>
        <x:v>18.5</x:v>
      </x:c>
      <x:c r="K152" s="23" t="str">
        <x:v>上证指数</x:v>
      </x:c>
    </x:row>
    <x:row r="153">
      <x:c r="A153" s="23" t="n">
        <x:v>2</x:v>
      </x:c>
      <x:c r="B153" s="23" t="str">
        <x:v>周三</x:v>
      </x:c>
      <x:c r="C153" s="23" t="str">
        <x:v>7月2日</x:v>
      </x:c>
      <x:c r="D153" s="24" t="n">
        <x:v>3458.171</x:v>
      </x:c>
      <x:c r="E153" s="24" t="n">
        <x:v>3461.328</x:v>
      </x:c>
      <x:c r="F153" s="24" t="n">
        <x:v>3447.956</x:v>
      </x:c>
      <x:c r="G153" s="24" t="n">
        <x:v>3454.792</x:v>
      </x:c>
      <x:c r="H153" s="24" t="n">
        <x:v>-3</x:v>
      </x:c>
      <x:c r="I153" s="25" t="n">
        <x:v>-0.0008546027225242447</x:v>
      </x:c>
      <x:c r="J153" s="24" t="n">
        <x:f>ROUND(E153-F153,1)</x:f>
        <x:v>13.4</x:v>
      </x:c>
      <x:c r="K153" s="23" t="str">
        <x:v>上证指数</x:v>
      </x:c>
    </x:row>
    <x:row r="154">
      <x:c r="A154" s="23" t="n">
        <x:v>3</x:v>
      </x:c>
      <x:c r="B154" s="23" t="str">
        <x:v>周四</x:v>
      </x:c>
      <x:c r="C154" s="23" t="str">
        <x:v>7月3日</x:v>
      </x:c>
      <x:c r="D154" s="24" t="n">
        <x:v>3456.152</x:v>
      </x:c>
      <x:c r="E154" s="24" t="n">
        <x:v>3463.62</x:v>
      </x:c>
      <x:c r="F154" s="24" t="n">
        <x:v>3446.974</x:v>
      </x:c>
      <x:c r="G154" s="24" t="n">
        <x:v>3461.151</x:v>
      </x:c>
      <x:c r="H154" s="24" t="n">
        <x:v>6.4</x:v>
      </x:c>
      <x:c r="I154" s="25" t="n">
        <x:v>0.0018406317949097861</x:v>
      </x:c>
      <x:c r="J154" s="24" t="n">
        <x:f>ROUND(E154-F154,1)</x:f>
        <x:v>16.6</x:v>
      </x:c>
      <x:c r="K154" s="23" t="str">
        <x:v>上证指数</x:v>
      </x:c>
    </x:row>
    <x:row r="155">
      <x:c r="A155" s="23" t="n">
        <x:v>4</x:v>
      </x:c>
      <x:c r="B155" s="23" t="str">
        <x:v>周五</x:v>
      </x:c>
      <x:c r="C155" s="23" t="str">
        <x:v>7月4日</x:v>
      </x:c>
      <x:c r="D155" s="24" t="n">
        <x:v>3459.592</x:v>
      </x:c>
      <x:c r="E155" s="24" t="n">
        <x:v>3497.225</x:v>
      </x:c>
      <x:c r="F155" s="24" t="n">
        <x:v>3455.494</x:v>
      </x:c>
      <x:c r="G155" s="24" t="n">
        <x:v>3472.319</x:v>
      </x:c>
      <x:c r="H155" s="24" t="n">
        <x:v>11.2</x:v>
      </x:c>
      <x:c r="I155" s="25" t="n">
        <x:v>0.0032266722832954287</x:v>
      </x:c>
      <x:c r="J155" s="24" t="n">
        <x:f>ROUND(E155-F155,1)</x:f>
        <x:v>41.7</x:v>
      </x:c>
      <x:c r="K155" s="23" t="str">
        <x:v>上证指数</x:v>
      </x:c>
    </x:row>
    <x:row r="156">
      <x:c r="A156" s="23" t="n">
        <x:v>5</x:v>
      </x:c>
      <x:c r="B156" s="23" t="str">
        <x:v>周一</x:v>
      </x:c>
      <x:c r="C156" s="23" t="str">
        <x:v>7月7日</x:v>
      </x:c>
      <x:c r="D156" s="24" t="n">
        <x:v>3467.985</x:v>
      </x:c>
      <x:c r="E156" s="24" t="n">
        <x:v>3474.801</x:v>
      </x:c>
      <x:c r="F156" s="24" t="n">
        <x:v>3462.792</x:v>
      </x:c>
      <x:c r="G156" s="24" t="n">
        <x:v>3473.127</x:v>
      </x:c>
      <x:c r="H156" s="24" t="n">
        <x:v>0.8</x:v>
      </x:c>
      <x:c r="I156" s="25" t="n">
        <x:v>0.00023269751425480933</x:v>
      </x:c>
      <x:c r="J156" s="24" t="n">
        <x:f>ROUND(E156-F156,1)</x:f>
        <x:v>12</x:v>
      </x:c>
      <x:c r="K156" s="23" t="str">
        <x:v>上证指数</x:v>
      </x:c>
    </x:row>
    <x:row r="157">
      <x:c r="A157" s="23" t="n">
        <x:v>6</x:v>
      </x:c>
      <x:c r="B157" s="23" t="str">
        <x:v>周二</x:v>
      </x:c>
      <x:c r="C157" s="23" t="str">
        <x:v>7月8日</x:v>
      </x:c>
      <x:c r="D157" s="24" t="n">
        <x:v>3474.632</x:v>
      </x:c>
      <x:c r="E157" s="24" t="n">
        <x:v>3499.886</x:v>
      </x:c>
      <x:c r="F157" s="24" t="n">
        <x:v>3474.632</x:v>
      </x:c>
      <x:c r="G157" s="24" t="n">
        <x:v>3497.475</x:v>
      </x:c>
      <x:c r="H157" s="24" t="n">
        <x:v>24.3</x:v>
      </x:c>
      <x:c r="I157" s="25" t="n">
        <x:v>0.007010397258723877</x:v>
      </x:c>
      <x:c r="J157" s="24" t="n">
        <x:f>ROUND(E157-F157,1)</x:f>
        <x:v>25.3</x:v>
      </x:c>
      <x:c r="K157" s="23" t="str">
        <x:v>上证指数</x:v>
      </x:c>
    </x:row>
    <x:row r="158">
      <x:c r="A158" s="23" t="n">
        <x:v>7</x:v>
      </x:c>
      <x:c r="B158" s="23" t="str">
        <x:v>周三</x:v>
      </x:c>
      <x:c r="C158" s="23" t="str">
        <x:v>7月9日</x:v>
      </x:c>
      <x:c r="D158" s="24" t="n">
        <x:v>3498.724</x:v>
      </x:c>
      <x:c r="E158" s="24" t="n">
        <x:v>3512.669</x:v>
      </x:c>
      <x:c r="F158" s="24" t="n">
        <x:v>3491.201</x:v>
      </x:c>
      <x:c r="G158" s="24" t="n">
        <x:v>3493.05</x:v>
      </x:c>
      <x:c r="H158" s="24" t="n">
        <x:v>-4.4</x:v>
      </x:c>
      <x:c r="I158" s="25" t="n">
        <x:v>-0.0012651984646064873</x:v>
      </x:c>
      <x:c r="J158" s="24" t="n">
        <x:f>ROUND(E158-F158,1)</x:f>
        <x:v>21.5</x:v>
      </x:c>
      <x:c r="K158" s="23" t="str">
        <x:v>上证指数</x:v>
      </x:c>
    </x:row>
    <x:row r="159">
      <x:c r="A159" s="23" t="n">
        <x:v>8</x:v>
      </x:c>
      <x:c r="B159" s="23" t="str">
        <x:v>周四</x:v>
      </x:c>
      <x:c r="C159" s="23" t="str">
        <x:v>7月10日</x:v>
      </x:c>
      <x:c r="D159" s="24" t="n">
        <x:v>3491.497</x:v>
      </x:c>
      <x:c r="E159" s="24" t="n">
        <x:v>3526.59</x:v>
      </x:c>
      <x:c r="F159" s="24" t="n">
        <x:v>3491.497</x:v>
      </x:c>
      <x:c r="G159" s="24" t="n">
        <x:v>3509.682</x:v>
      </x:c>
      <x:c r="H159" s="24" t="n">
        <x:v>16.6</x:v>
      </x:c>
      <x:c r="I159" s="25" t="n">
        <x:v>0.004761454888993821</x:v>
      </x:c>
      <x:c r="J159" s="24" t="n">
        <x:f>ROUND(E159-F159,1)</x:f>
        <x:v>35.1</x:v>
      </x:c>
      <x:c r="K159" s="23" t="str">
        <x:v>上证指数</x:v>
      </x:c>
    </x:row>
    <x:row r="160">
      <x:c r="A160" s="23" t="n">
        <x:v>9</x:v>
      </x:c>
      <x:c r="B160" s="23" t="str">
        <x:v>周五</x:v>
      </x:c>
      <x:c r="C160" s="23" t="str">
        <x:v>7月11日</x:v>
      </x:c>
      <x:c r="D160" s="24" t="n">
        <x:v>3511.366</x:v>
      </x:c>
      <x:c r="E160" s="24" t="n">
        <x:v>3555.218</x:v>
      </x:c>
      <x:c r="F160" s="24" t="n">
        <x:v>3506.799</x:v>
      </x:c>
      <x:c r="G160" s="24" t="n">
        <x:v>3510.177</x:v>
      </x:c>
      <x:c r="H160" s="24" t="n">
        <x:v>0.5</x:v>
      </x:c>
      <x:c r="I160" s="25" t="n">
        <x:v>0.00014103841886536905</x:v>
      </x:c>
      <x:c r="J160" s="24" t="n">
        <x:f>ROUND(E160-F160,1)</x:f>
        <x:v>48.4</x:v>
      </x:c>
      <x:c r="K160" s="23" t="str">
        <x:v>上证指数</x:v>
      </x:c>
    </x:row>
    <x:row r="161">
      <x:c r="A161" s="23" t="n">
        <x:v>10</x:v>
      </x:c>
      <x:c r="B161" s="23" t="str">
        <x:v>周一</x:v>
      </x:c>
      <x:c r="C161" s="23" t="str">
        <x:v>7月14日</x:v>
      </x:c>
      <x:c r="D161" s="24" t="n">
        <x:v>3513.252</x:v>
      </x:c>
      <x:c r="E161" s="24" t="n">
        <x:v>3532.118</x:v>
      </x:c>
      <x:c r="F161" s="24" t="n">
        <x:v>3513.252</x:v>
      </x:c>
      <x:c r="G161" s="24" t="n">
        <x:v>3519.65</x:v>
      </x:c>
      <x:c r="H161" s="24" t="n">
        <x:v>9.5</x:v>
      </x:c>
      <x:c r="I161" s="25" t="n">
        <x:v>0.002698724309343925</x:v>
      </x:c>
      <x:c r="J161" s="24" t="n">
        <x:f>ROUND(E161-F161,1)</x:f>
        <x:v>18.9</x:v>
      </x:c>
      <x:c r="K161" s="23" t="str">
        <x:v>上证指数</x:v>
      </x:c>
    </x:row>
    <x:row r="162">
      <x:c r="A162" s="23" t="n">
        <x:v>11</x:v>
      </x:c>
      <x:c r="B162" s="23" t="str">
        <x:v>周二</x:v>
      </x:c>
      <x:c r="C162" s="23" t="str">
        <x:v>7月15日</x:v>
      </x:c>
      <x:c r="D162" s="24" t="n">
        <x:v>3519.805</x:v>
      </x:c>
      <x:c r="E162" s="24" t="n">
        <x:v>3527.038</x:v>
      </x:c>
      <x:c r="F162" s="24" t="n">
        <x:v>3483.38</x:v>
      </x:c>
      <x:c r="G162" s="24" t="n">
        <x:v>3504.999</x:v>
      </x:c>
      <x:c r="H162" s="24" t="n">
        <x:v>-14.7</x:v>
      </x:c>
      <x:c r="I162" s="25" t="n">
        <x:v>-0.004162629806941154</x:v>
      </x:c>
      <x:c r="J162" s="24" t="n">
        <x:f>ROUND(E162-F162,1)</x:f>
        <x:v>43.7</x:v>
      </x:c>
      <x:c r="K162" s="23" t="str">
        <x:v>上证指数</x:v>
      </x:c>
    </x:row>
    <x:row r="163">
      <x:c r="A163" s="23" t="n">
        <x:v>12</x:v>
      </x:c>
      <x:c r="B163" s="23" t="str">
        <x:v>周三</x:v>
      </x:c>
      <x:c r="C163" s="23" t="str">
        <x:v>7月16日</x:v>
      </x:c>
      <x:c r="D163" s="24" t="n">
        <x:v>3502.899</x:v>
      </x:c>
      <x:c r="E163" s="24" t="n">
        <x:v>3511.806</x:v>
      </x:c>
      <x:c r="F163" s="24" t="n">
        <x:v>3489.137</x:v>
      </x:c>
      <x:c r="G163" s="24" t="n">
        <x:v>3503.777</x:v>
      </x:c>
      <x:c r="H163" s="24" t="n">
        <x:v>-1.2</x:v>
      </x:c>
      <x:c r="I163" s="25" t="n">
        <x:v>-0.00034864489262331766</x:v>
      </x:c>
      <x:c r="J163" s="24" t="n">
        <x:f>ROUND(E163-F163,1)</x:f>
        <x:v>22.7</x:v>
      </x:c>
      <x:c r="K163" s="23" t="str">
        <x:v>上证指数</x:v>
      </x:c>
    </x:row>
    <x:row r="164">
      <x:c r="A164" s="23" t="n">
        <x:v>13</x:v>
      </x:c>
      <x:c r="B164" s="23" t="str">
        <x:v>周四</x:v>
      </x:c>
      <x:c r="C164" s="23" t="str">
        <x:v>7月17日</x:v>
      </x:c>
      <x:c r="D164" s="24" t="n">
        <x:v>3500.372</x:v>
      </x:c>
      <x:c r="E164" s="24" t="n">
        <x:v>3517.285</x:v>
      </x:c>
      <x:c r="F164" s="24" t="n">
        <x:v>3499.186</x:v>
      </x:c>
      <x:c r="G164" s="24" t="n">
        <x:v>3516.826</x:v>
      </x:c>
      <x:c r="H164" s="24" t="n">
        <x:v>13</x:v>
      </x:c>
      <x:c r="I164" s="25" t="n">
        <x:v>0.0037242666984800277</x:v>
      </x:c>
      <x:c r="J164" s="24" t="n">
        <x:f>ROUND(E164-F164,1)</x:f>
        <x:v>18.1</x:v>
      </x:c>
      <x:c r="K164" s="23" t="str">
        <x:v>上证指数</x:v>
      </x:c>
    </x:row>
    <x:row r="165">
      <x:c r="A165" s="33" t="n">
        <x:v>14</x:v>
      </x:c>
      <x:c r="B165" s="33" t="str">
        <x:v>周五</x:v>
      </x:c>
      <x:c r="C165" s="33" t="str">
        <x:v>7月18日</x:v>
      </x:c>
      <x:c r="D165" s="34" t="n">
        <x:v>3519.475</x:v>
      </x:c>
      <x:c r="E165" s="34" t="n">
        <x:v>3536.014</x:v>
      </x:c>
      <x:c r="F165" s="34" t="n">
        <x:v>3518.231</x:v>
      </x:c>
      <x:c r="G165" s="34" t="n">
        <x:v>3534.483</x:v>
      </x:c>
      <x:c r="H165" s="34" t="n">
        <x:v>17.7</x:v>
      </x:c>
      <x:c r="I165" s="35" t="n">
        <x:v>0.005020720388213773</x:v>
      </x:c>
      <x:c r="J165" s="34" t="n">
        <x:f>ROUND(E165-F165,1)</x:f>
        <x:v>17.8</x:v>
      </x:c>
      <x:c r="K165" s="33" t="str">
        <x:v>上证指数</x:v>
      </x:c>
    </x:row>
    <x:row r="166">
      <x:c r="A166" s="23" t="n">
        <x:v>15</x:v>
      </x:c>
      <x:c r="B166" s="23" t="str">
        <x:v>周一</x:v>
      </x:c>
      <x:c r="C166" s="23" t="str">
        <x:v>7月21日</x:v>
      </x:c>
      <x:c r="D166" s="24" t="n">
        <x:v>3542.816</x:v>
      </x:c>
      <x:c r="E166" s="24" t="n">
        <x:v>3560.629</x:v>
      </x:c>
      <x:c r="F166" s="24" t="n">
        <x:v>3542.568</x:v>
      </x:c>
      <x:c r="G166" s="24" t="n">
        <x:v>3559.791</x:v>
      </x:c>
      <x:c r="H166" s="24" t="n">
        <x:v>25.3</x:v>
      </x:c>
      <x:c r="I166" s="25" t="n">
        <x:v>0.007160311706124967</x:v>
      </x:c>
      <x:c r="J166" s="24" t="n">
        <x:f>ROUND(E166-F166,1)</x:f>
        <x:v>18.1</x:v>
      </x:c>
      <x:c r="K166" s="23" t="str">
        <x:v>上证指数</x:v>
      </x:c>
    </x:row>
    <x:row r="167">
      <x:c r="A167" s="23" t="n">
        <x:v>16</x:v>
      </x:c>
      <x:c r="B167" s="23" t="str">
        <x:v>周二</x:v>
      </x:c>
      <x:c r="C167" s="23" t="str">
        <x:v>7月22日</x:v>
      </x:c>
      <x:c r="D167" s="24" t="n">
        <x:v>3561.632</x:v>
      </x:c>
      <x:c r="E167" s="24" t="n">
        <x:v>3584.719</x:v>
      </x:c>
      <x:c r="F167" s="24" t="n">
        <x:v>3547.252</x:v>
      </x:c>
      <x:c r="G167" s="24" t="n">
        <x:v>3581.861</x:v>
      </x:c>
      <x:c r="H167" s="24" t="n">
        <x:v>22.1</x:v>
      </x:c>
      <x:c r="I167" s="25" t="n">
        <x:v>0.006199802179397418</x:v>
      </x:c>
      <x:c r="J167" s="24" t="n">
        <x:f>ROUND(E167-F167,1)</x:f>
        <x:v>37.5</x:v>
      </x:c>
      <x:c r="K167" s="23" t="str">
        <x:v>上证指数</x:v>
      </x:c>
    </x:row>
    <x:row r="168">
      <x:c r="A168" s="23" t="n">
        <x:v>17</x:v>
      </x:c>
      <x:c r="B168" s="23" t="str">
        <x:v>周三</x:v>
      </x:c>
      <x:c r="C168" s="23" t="str">
        <x:v>7月23日</x:v>
      </x:c>
      <x:c r="D168" s="24" t="n">
        <x:v>3588.878</x:v>
      </x:c>
      <x:c r="E168" s="24" t="n">
        <x:v>3613.022</x:v>
      </x:c>
      <x:c r="F168" s="24" t="n">
        <x:v>3577.594</x:v>
      </x:c>
      <x:c r="G168" s="24" t="n">
        <x:v>3582.298</x:v>
      </x:c>
      <x:c r="H168" s="24" t="n">
        <x:v>0.4</x:v>
      </x:c>
      <x:c r="I168" s="25" t="n">
        <x:v>0.0001220036176725614</x:v>
      </x:c>
      <x:c r="J168" s="24" t="n">
        <x:f>ROUND(E168-F168,1)</x:f>
        <x:v>35.4</x:v>
      </x:c>
      <x:c r="K168" s="23" t="str">
        <x:v>上证指数</x:v>
      </x:c>
    </x:row>
    <x:row r="169">
      <x:c r="A169" s="23" t="n">
        <x:v>18</x:v>
      </x:c>
      <x:c r="B169" s="23" t="str">
        <x:v>周四</x:v>
      </x:c>
      <x:c r="C169" s="23" t="str">
        <x:v>7月24日</x:v>
      </x:c>
      <x:c r="D169" s="24" t="n">
        <x:v>3578.912</x:v>
      </x:c>
      <x:c r="E169" s="24" t="n">
        <x:v>3608.728</x:v>
      </x:c>
      <x:c r="F169" s="24" t="n">
        <x:v>3577.113</x:v>
      </x:c>
      <x:c r="G169" s="24" t="n">
        <x:v>3605.727</x:v>
      </x:c>
      <x:c r="H169" s="24" t="n">
        <x:v>23.4</x:v>
      </x:c>
      <x:c r="I169" s="25" t="n">
        <x:v>0.006540215247307746</x:v>
      </x:c>
      <x:c r="J169" s="24" t="n">
        <x:f>ROUND(E169-F169,1)</x:f>
        <x:v>31.6</x:v>
      </x:c>
      <x:c r="K169" s="23" t="str">
        <x:v>上证指数</x:v>
      </x:c>
    </x:row>
    <x:row r="170">
      <x:c r="A170" s="23" t="n">
        <x:v>19</x:v>
      </x:c>
      <x:c r="B170" s="23" t="str">
        <x:v>周五</x:v>
      </x:c>
      <x:c r="C170" s="23" t="str">
        <x:v>7月25日</x:v>
      </x:c>
      <x:c r="D170" s="24" t="n">
        <x:v>3604.451</x:v>
      </x:c>
      <x:c r="E170" s="24" t="n">
        <x:v>3610.029</x:v>
      </x:c>
      <x:c r="F170" s="24" t="n">
        <x:v>3586.22</x:v>
      </x:c>
      <x:c r="G170" s="24" t="n">
        <x:v>3593.655</x:v>
      </x:c>
      <x:c r="H170" s="24" t="n">
        <x:v>-12.1</x:v>
      </x:c>
      <x:c r="I170" s="25" t="n">
        <x:v>-0.0033480072118603488</x:v>
      </x:c>
      <x:c r="J170" s="24" t="n">
        <x:f>ROUND(E170-F170,1)</x:f>
        <x:v>23.8</x:v>
      </x:c>
      <x:c r="K170" s="23" t="str">
        <x:v>上证指数</x:v>
      </x:c>
    </x:row>
    <x:row r="171">
      <x:c r="A171" s="23" t="n">
        <x:v>20</x:v>
      </x:c>
      <x:c r="B171" s="23" t="str">
        <x:v>周一</x:v>
      </x:c>
      <x:c r="C171" s="23" t="str">
        <x:v>7月28日</x:v>
      </x:c>
      <x:c r="D171" s="24" t="n">
        <x:v>3594.231</x:v>
      </x:c>
      <x:c r="E171" s="24" t="n">
        <x:v>3606.274</x:v>
      </x:c>
      <x:c r="F171" s="24" t="n">
        <x:v>3582.149</x:v>
      </x:c>
      <x:c r="G171" s="24" t="n">
        <x:v>3597.937</x:v>
      </x:c>
      <x:c r="H171" s="24" t="n">
        <x:v>4.3</x:v>
      </x:c>
      <x:c r="I171" s="25" t="n">
        <x:v>0.0011915445416990078</x:v>
      </x:c>
      <x:c r="J171" s="24" t="n">
        <x:f>ROUND(E171-F171,1)</x:f>
        <x:v>24.1</x:v>
      </x:c>
      <x:c r="K171" s="23" t="str">
        <x:v>上证指数</x:v>
      </x:c>
    </x:row>
    <x:row r="172">
      <x:c r="A172" s="23" t="n">
        <x:v>21</x:v>
      </x:c>
      <x:c r="B172" s="23" t="str">
        <x:v>周二</x:v>
      </x:c>
      <x:c r="C172" s="23" t="str">
        <x:v>7月29日</x:v>
      </x:c>
      <x:c r="D172" s="24" t="n">
        <x:v>3595.81</x:v>
      </x:c>
      <x:c r="E172" s="24" t="n">
        <x:v>3611.353</x:v>
      </x:c>
      <x:c r="F172" s="24" t="n">
        <x:v>3585.944</x:v>
      </x:c>
      <x:c r="G172" s="24" t="n">
        <x:v>3609.711</x:v>
      </x:c>
      <x:c r="H172" s="24" t="n">
        <x:v>11.8</x:v>
      </x:c>
      <x:c r="I172" s="25" t="n">
        <x:v>0.0032724308402287683</x:v>
      </x:c>
      <x:c r="J172" s="24" t="n">
        <x:f>ROUND(E172-F172,1)</x:f>
        <x:v>25.4</x:v>
      </x:c>
      <x:c r="K172" s="23" t="str">
        <x:v>上证指数</x:v>
      </x:c>
    </x:row>
    <x:row r="173">
      <x:c r="A173" s="23" t="n">
        <x:v>22</x:v>
      </x:c>
      <x:c r="B173" s="23" t="str">
        <x:v>周三</x:v>
      </x:c>
      <x:c r="C173" s="23" t="str">
        <x:v>7月30日</x:v>
      </x:c>
      <x:c r="D173" s="24" t="n">
        <x:v>3608.354</x:v>
      </x:c>
      <x:c r="E173" s="24" t="n">
        <x:v>3636.166</x:v>
      </x:c>
      <x:c r="F173" s="24" t="n">
        <x:v>3593.734</x:v>
      </x:c>
      <x:c r="G173" s="24" t="n">
        <x:v>3615.717</x:v>
      </x:c>
      <x:c r="H173" s="24" t="n">
        <x:v>6</x:v>
      </x:c>
      <x:c r="I173" s="25" t="n">
        <x:v>0.001663845111146145</x:v>
      </x:c>
      <x:c r="J173" s="24" t="n">
        <x:f>ROUND(E173-F173,1)</x:f>
        <x:v>42.4</x:v>
      </x:c>
      <x:c r="K173" s="23" t="str">
        <x:v>上证指数</x:v>
      </x:c>
    </x:row>
    <x:row r="174">
      <x:c r="A174" s="23" t="n">
        <x:v>23</x:v>
      </x:c>
      <x:c r="B174" s="23" t="str">
        <x:v>周四</x:v>
      </x:c>
      <x:c r="C174" s="23" t="str">
        <x:v>7月31日</x:v>
      </x:c>
      <x:c r="D174" s="24" t="n">
        <x:v>3604.696</x:v>
      </x:c>
      <x:c r="E174" s="24" t="n">
        <x:v>3606.374</x:v>
      </x:c>
      <x:c r="F174" s="24" t="n">
        <x:v>3562.607</x:v>
      </x:c>
      <x:c r="G174" s="24" t="n">
        <x:v>3573.208</x:v>
      </x:c>
      <x:c r="H174" s="24" t="n">
        <x:v>-42.5</x:v>
      </x:c>
      <x:c r="I174" s="25" t="n">
        <x:v>-0.011756727642124654</x:v>
      </x:c>
      <x:c r="J174" s="24" t="n">
        <x:f>ROUND(E174-F174,1)</x:f>
        <x:v>43.8</x:v>
      </x:c>
      <x:c r="K174" s="23" t="str">
        <x:v>上证指数</x:v>
      </x:c>
    </x:row>
    <x:row r="175">
      <x:c r="A175" s="38" t="str">
        <x:v>合计</x:v>
      </x:c>
      <x:c r="B175" s="37" t="n">
        <x:v>23</x:v>
      </x:c>
      <x:c r="C175" s="37"/>
      <x:c r="D175" s="37"/>
      <x:c r="E175" s="37"/>
      <x:c r="F175" s="37"/>
      <x:c r="G175" s="37"/>
      <x:c r="H175" s="37"/>
      <x:c r="I175" s="37"/>
      <x:c r="J175" s="39" t="n">
        <x:f>ROUND(SUM(J152:J174),1)</x:f>
        <x:v>635.8</x:v>
      </x:c>
      <x:c r="K175" s="37"/>
    </x:row>
    <x:row r="176">
      <x:c r="A176" s="38" t="str">
        <x:v>均值</x:v>
      </x:c>
      <x:c r="B176" s="37"/>
      <x:c r="C176" s="37"/>
      <x:c r="D176" s="37"/>
      <x:c r="E176" s="37"/>
      <x:c r="F176" s="37"/>
      <x:c r="G176" s="37"/>
      <x:c r="H176" s="37"/>
      <x:c r="I176" s="37"/>
      <x:c r="J176" s="41" t="n">
        <x:f>ROUND(IFERROR(AVERAGE(J152:J174),0),1)</x:f>
        <x:v>27.6</x:v>
      </x:c>
      <x:c r="K176" s="37"/>
    </x:row>
    <x:row r="178">
      <x:c r="A178" s="17" t="str">
        <x:v>8月</x:v>
      </x:c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</x:row>
    <x:row r="179">
      <x:c r="A179" s="20" t="str">
        <x:v>序号</x:v>
      </x:c>
      <x:c r="B179" s="20" t="str">
        <x:v>星期</x:v>
      </x:c>
      <x:c r="C179" s="20" t="str">
        <x:v>日期</x:v>
      </x:c>
      <x:c r="D179" s="20" t="str">
        <x:v>开盘</x:v>
      </x:c>
      <x:c r="E179" s="20" t="str">
        <x:v>高点</x:v>
      </x:c>
      <x:c r="F179" s="20" t="str">
        <x:v>低点</x:v>
      </x:c>
      <x:c r="G179" s="20" t="str">
        <x:v>收盘</x:v>
      </x:c>
      <x:c r="H179" s="20" t="str">
        <x:v>涨跌点数</x:v>
      </x:c>
      <x:c r="I179" s="20" t="str">
        <x:v>涨幅</x:v>
      </x:c>
      <x:c r="J179" s="20" t="str">
        <x:v>振幅</x:v>
      </x:c>
      <x:c r="K179" s="20" t="str">
        <x:v>标的</x:v>
      </x:c>
    </x:row>
    <x:row r="180">
      <x:c r="A180" s="23" t="n">
        <x:v>1</x:v>
      </x:c>
      <x:c r="B180" s="23" t="str">
        <x:v>周五</x:v>
      </x:c>
      <x:c r="C180" s="23" t="str">
        <x:v>8月1日</x:v>
      </x:c>
      <x:c r="D180" s="24" t="n">
        <x:v>3568.261</x:v>
      </x:c>
      <x:c r="E180" s="24" t="n">
        <x:v>3581.746</x:v>
      </x:c>
      <x:c r="F180" s="24" t="n">
        <x:v>3550.043</x:v>
      </x:c>
      <x:c r="G180" s="24" t="n">
        <x:v>3559.952</x:v>
      </x:c>
      <x:c r="H180" s="24" t="n">
        <x:v>-13.3</x:v>
      </x:c>
      <x:c r="I180" s="25" t="n">
        <x:v>-0.0037098316134968057</x:v>
      </x:c>
      <x:c r="J180" s="24" t="n">
        <x:f>ROUND(E180-F180,1)</x:f>
        <x:v>31.7</x:v>
      </x:c>
      <x:c r="K180" s="23" t="str">
        <x:v>上证指数</x:v>
      </x:c>
    </x:row>
    <x:row r="181">
      <x:c r="A181" s="23" t="n">
        <x:v>2</x:v>
      </x:c>
      <x:c r="B181" s="23" t="str">
        <x:v>周一</x:v>
      </x:c>
      <x:c r="C181" s="23" t="str">
        <x:v>8月4日</x:v>
      </x:c>
      <x:c r="D181" s="24" t="n">
        <x:v>3547.163</x:v>
      </x:c>
      <x:c r="E181" s="24" t="n">
        <x:v>3583.309</x:v>
      </x:c>
      <x:c r="F181" s="24" t="n">
        <x:v>3547.163</x:v>
      </x:c>
      <x:c r="G181" s="24" t="n">
        <x:v>3583.309</x:v>
      </x:c>
      <x:c r="H181" s="24" t="n">
        <x:v>23.4</x:v>
      </x:c>
      <x:c r="I181" s="25" t="n">
        <x:v>0.0065610435196878925</x:v>
      </x:c>
      <x:c r="J181" s="24" t="n">
        <x:f>ROUND(E181-F181,1)</x:f>
        <x:v>36.1</x:v>
      </x:c>
      <x:c r="K181" s="23" t="str">
        <x:v>上证指数</x:v>
      </x:c>
    </x:row>
    <x:row r="182">
      <x:c r="A182" s="23" t="n">
        <x:v>3</x:v>
      </x:c>
      <x:c r="B182" s="23" t="str">
        <x:v>周二</x:v>
      </x:c>
      <x:c r="C182" s="23" t="str">
        <x:v>8月5日</x:v>
      </x:c>
      <x:c r="D182" s="24" t="n">
        <x:v>3588.808</x:v>
      </x:c>
      <x:c r="E182" s="24" t="n">
        <x:v>3617.598</x:v>
      </x:c>
      <x:c r="F182" s="24" t="n">
        <x:v>3586.969</x:v>
      </x:c>
      <x:c r="G182" s="24" t="n">
        <x:v>3617.598</x:v>
      </x:c>
      <x:c r="H182" s="24" t="n">
        <x:v>34.3</x:v>
      </x:c>
      <x:c r="I182" s="25" t="n">
        <x:v>0.009569088236599077</x:v>
      </x:c>
      <x:c r="J182" s="24" t="n">
        <x:f>ROUND(E182-F182,1)</x:f>
        <x:v>30.6</x:v>
      </x:c>
      <x:c r="K182" s="23" t="str">
        <x:v>上证指数</x:v>
      </x:c>
    </x:row>
    <x:row r="183">
      <x:c r="A183" s="23" t="n">
        <x:v>4</x:v>
      </x:c>
      <x:c r="B183" s="23" t="str">
        <x:v>周三</x:v>
      </x:c>
      <x:c r="C183" s="23" t="str">
        <x:v>8月6日</x:v>
      </x:c>
      <x:c r="D183" s="24" t="n">
        <x:v>3615.808</x:v>
      </x:c>
      <x:c r="E183" s="24" t="n">
        <x:v>3634.314</x:v>
      </x:c>
      <x:c r="F183" s="24" t="n">
        <x:v>3613.989</x:v>
      </x:c>
      <x:c r="G183" s="24" t="n">
        <x:v>3633.995</x:v>
      </x:c>
      <x:c r="H183" s="24" t="n">
        <x:v>16.4</x:v>
      </x:c>
      <x:c r="I183" s="25" t="n">
        <x:v>0.0045325655310513024</x:v>
      </x:c>
      <x:c r="J183" s="24" t="n">
        <x:f>ROUND(E183-F183,1)</x:f>
        <x:v>20.3</x:v>
      </x:c>
      <x:c r="K183" s="23" t="str">
        <x:v>上证指数</x:v>
      </x:c>
    </x:row>
    <x:row r="184">
      <x:c r="A184" s="23" t="n">
        <x:v>5</x:v>
      </x:c>
      <x:c r="B184" s="23" t="str">
        <x:v>周四</x:v>
      </x:c>
      <x:c r="C184" s="23" t="str">
        <x:v>8月7日</x:v>
      </x:c>
      <x:c r="D184" s="24" t="n">
        <x:v>3637.781</x:v>
      </x:c>
      <x:c r="E184" s="24" t="n">
        <x:v>3645.117</x:v>
      </x:c>
      <x:c r="F184" s="24" t="n">
        <x:v>3622.522</x:v>
      </x:c>
      <x:c r="G184" s="24" t="n">
        <x:v>3639.667</x:v>
      </x:c>
      <x:c r="H184" s="24" t="n">
        <x:v>5.7</x:v>
      </x:c>
      <x:c r="I184" s="25" t="n">
        <x:v>0.0015608166769629506</x:v>
      </x:c>
      <x:c r="J184" s="24" t="n">
        <x:f>ROUND(E184-F184,1)</x:f>
        <x:v>22.6</x:v>
      </x:c>
      <x:c r="K184" s="23" t="str">
        <x:v>上证指数</x:v>
      </x:c>
    </x:row>
    <x:row r="185">
      <x:c r="A185" s="23" t="n">
        <x:v>6</x:v>
      </x:c>
      <x:c r="B185" s="23" t="str">
        <x:v>周五</x:v>
      </x:c>
      <x:c r="C185" s="23" t="str">
        <x:v>8月8日</x:v>
      </x:c>
      <x:c r="D185" s="24" t="n">
        <x:v>3634.855</x:v>
      </x:c>
      <x:c r="E185" s="24" t="n">
        <x:v>3645.367</x:v>
      </x:c>
      <x:c r="F185" s="24" t="n">
        <x:v>3625.451</x:v>
      </x:c>
      <x:c r="G185" s="24" t="n">
        <x:v>3635.128</x:v>
      </x:c>
      <x:c r="H185" s="24" t="n">
        <x:v>-4.5</x:v>
      </x:c>
      <x:c r="I185" s="25" t="n">
        <x:v>-0.001247092110349568</x:v>
      </x:c>
      <x:c r="J185" s="24" t="n">
        <x:f>ROUND(E185-F185,1)</x:f>
        <x:v>19.9</x:v>
      </x:c>
      <x:c r="K185" s="23" t="str">
        <x:v>上证指数</x:v>
      </x:c>
    </x:row>
    <x:row r="186">
      <x:c r="A186" s="23" t="n">
        <x:v>7</x:v>
      </x:c>
      <x:c r="B186" s="23" t="str">
        <x:v>周一</x:v>
      </x:c>
      <x:c r="C186" s="23" t="str">
        <x:v>8月11日</x:v>
      </x:c>
      <x:c r="D186" s="24" t="n">
        <x:v>3637.053</x:v>
      </x:c>
      <x:c r="E186" s="24" t="n">
        <x:v>3656.852</x:v>
      </x:c>
      <x:c r="F186" s="24" t="n">
        <x:v>3629.627</x:v>
      </x:c>
      <x:c r="G186" s="24" t="n">
        <x:v>3647.547</x:v>
      </x:c>
      <x:c r="H186" s="24" t="n">
        <x:v>12.4</x:v>
      </x:c>
      <x:c r="I186" s="25" t="n">
        <x:v>0.003416385887924589</x:v>
      </x:c>
      <x:c r="J186" s="24" t="n">
        <x:f>ROUND(E186-F186,1)</x:f>
        <x:v>27.2</x:v>
      </x:c>
      <x:c r="K186" s="23" t="str">
        <x:v>上证指数</x:v>
      </x:c>
    </x:row>
    <x:row r="187">
      <x:c r="A187" s="23" t="n">
        <x:v>8</x:v>
      </x:c>
      <x:c r="B187" s="23" t="str">
        <x:v>周二</x:v>
      </x:c>
      <x:c r="C187" s="23" t="str">
        <x:v>8月12日</x:v>
      </x:c>
      <x:c r="D187" s="24" t="n">
        <x:v>3647.963</x:v>
      </x:c>
      <x:c r="E187" s="24" t="n">
        <x:v>3669.038</x:v>
      </x:c>
      <x:c r="F187" s="24" t="n">
        <x:v>3647.963</x:v>
      </x:c>
      <x:c r="G187" s="24" t="n">
        <x:v>3665.918</x:v>
      </x:c>
      <x:c r="H187" s="24" t="n">
        <x:v>18.4</x:v>
      </x:c>
      <x:c r="I187" s="25" t="n">
        <x:v>0.005036535512770612</x:v>
      </x:c>
      <x:c r="J187" s="24" t="n">
        <x:f>ROUND(E187-F187,1)</x:f>
        <x:v>21.1</x:v>
      </x:c>
      <x:c r="K187" s="23" t="str">
        <x:v>上证指数</x:v>
      </x:c>
    </x:row>
    <x:row r="188">
      <x:c r="A188" s="23" t="n">
        <x:v>9</x:v>
      </x:c>
      <x:c r="B188" s="23" t="str">
        <x:v>周三</x:v>
      </x:c>
      <x:c r="C188" s="23" t="str">
        <x:v>8月13日</x:v>
      </x:c>
      <x:c r="D188" s="24" t="n">
        <x:v>3668.658</x:v>
      </x:c>
      <x:c r="E188" s="24" t="n">
        <x:v>3688.628</x:v>
      </x:c>
      <x:c r="F188" s="24" t="n">
        <x:v>3666.547</x:v>
      </x:c>
      <x:c r="G188" s="24" t="n">
        <x:v>3683.465</x:v>
      </x:c>
      <x:c r="H188" s="24" t="n">
        <x:v>17.5</x:v>
      </x:c>
      <x:c r="I188" s="25" t="n">
        <x:v>0.004786522775468427</x:v>
      </x:c>
      <x:c r="J188" s="24" t="n">
        <x:f>ROUND(E188-F188,1)</x:f>
        <x:v>22.1</x:v>
      </x:c>
      <x:c r="K188" s="23" t="str">
        <x:v>上证指数</x:v>
      </x:c>
    </x:row>
    <x:row r="189">
      <x:c r="A189" s="23" t="n">
        <x:v>10</x:v>
      </x:c>
      <x:c r="B189" s="23" t="str">
        <x:v>周四</x:v>
      </x:c>
      <x:c r="C189" s="23" t="str">
        <x:v>8月14日</x:v>
      </x:c>
      <x:c r="D189" s="24" t="n">
        <x:v>3685.522</x:v>
      </x:c>
      <x:c r="E189" s="24" t="n">
        <x:v>3704.772</x:v>
      </x:c>
      <x:c r="F189" s="24" t="n">
        <x:v>3662.57</x:v>
      </x:c>
      <x:c r="G189" s="24" t="n">
        <x:v>3666.443</x:v>
      </x:c>
      <x:c r="H189" s="24" t="n">
        <x:v>-17</x:v>
      </x:c>
      <x:c r="I189" s="25" t="n">
        <x:v>-0.004621192274122277</x:v>
      </x:c>
      <x:c r="J189" s="24" t="n">
        <x:f>ROUND(E189-F189,1)</x:f>
        <x:v>42.2</x:v>
      </x:c>
      <x:c r="K189" s="23" t="str">
        <x:v>上证指数</x:v>
      </x:c>
    </x:row>
    <x:row r="190">
      <x:c r="A190" s="33" t="n">
        <x:v>11</x:v>
      </x:c>
      <x:c r="B190" s="33" t="str">
        <x:v>周五</x:v>
      </x:c>
      <x:c r="C190" s="33" t="str">
        <x:v>8月15日</x:v>
      </x:c>
      <x:c r="D190" s="34" t="n">
        <x:v>3659.815</x:v>
      </x:c>
      <x:c r="E190" s="34" t="n">
        <x:v>3702.255</x:v>
      </x:c>
      <x:c r="F190" s="34" t="n">
        <x:v>3658.376</x:v>
      </x:c>
      <x:c r="G190" s="34" t="n">
        <x:v>3696.771</x:v>
      </x:c>
      <x:c r="H190" s="34" t="n">
        <x:v>30.3</x:v>
      </x:c>
      <x:c r="I190" s="35" t="n">
        <x:v>0.0082717773056884</x:v>
      </x:c>
      <x:c r="J190" s="34" t="n">
        <x:f>ROUND(E190-F190,1)</x:f>
        <x:v>43.9</x:v>
      </x:c>
      <x:c r="K190" s="33" t="str">
        <x:v>上证指数</x:v>
      </x:c>
    </x:row>
    <x:row r="191">
      <x:c r="A191" s="23" t="n">
        <x:v>12</x:v>
      </x:c>
      <x:c r="B191" s="23" t="str">
        <x:v>周一</x:v>
      </x:c>
      <x:c r="C191" s="23" t="str">
        <x:v>8月18日</x:v>
      </x:c>
      <x:c r="D191" s="24" t="n">
        <x:v>3712.495</x:v>
      </x:c>
      <x:c r="E191" s="24" t="n">
        <x:v>3745.939</x:v>
      </x:c>
      <x:c r="F191" s="24" t="n">
        <x:v>3702.38</x:v>
      </x:c>
      <x:c r="G191" s="24" t="n">
        <x:v>3728.027</x:v>
      </x:c>
      <x:c r="H191" s="24" t="n">
        <x:v>31.3</x:v>
      </x:c>
      <x:c r="I191" s="25" t="n">
        <x:v>0.008454946221986726</x:v>
      </x:c>
      <x:c r="J191" s="24" t="n">
        <x:f>ROUND(E191-F191,1)</x:f>
        <x:v>43.6</x:v>
      </x:c>
      <x:c r="K191" s="23" t="str">
        <x:v>上证指数</x:v>
      </x:c>
    </x:row>
    <x:row r="192">
      <x:c r="A192" s="23" t="n">
        <x:v>13</x:v>
      </x:c>
      <x:c r="B192" s="23" t="str">
        <x:v>周二</x:v>
      </x:c>
      <x:c r="C192" s="23" t="str">
        <x:v>8月19日</x:v>
      </x:c>
      <x:c r="D192" s="24" t="n">
        <x:v>3728.485</x:v>
      </x:c>
      <x:c r="E192" s="24" t="n">
        <x:v>3746.669</x:v>
      </x:c>
      <x:c r="F192" s="24" t="n">
        <x:v>3718.147</x:v>
      </x:c>
      <x:c r="G192" s="24" t="n">
        <x:v>3727.288</x:v>
      </x:c>
      <x:c r="H192" s="24" t="n">
        <x:v>-0.7</x:v>
      </x:c>
      <x:c r="I192" s="25" t="n">
        <x:v>-0.00019822817806847137</x:v>
      </x:c>
      <x:c r="J192" s="24" t="n">
        <x:f>ROUND(E192-F192,1)</x:f>
        <x:v>28.5</x:v>
      </x:c>
      <x:c r="K192" s="23" t="str">
        <x:v>上证指数</x:v>
      </x:c>
    </x:row>
    <x:row r="193">
      <x:c r="A193" s="23" t="n">
        <x:v>14</x:v>
      </x:c>
      <x:c r="B193" s="23" t="str">
        <x:v>周三</x:v>
      </x:c>
      <x:c r="C193" s="23" t="str">
        <x:v>8月20日</x:v>
      </x:c>
      <x:c r="D193" s="24" t="n">
        <x:v>3716.685</x:v>
      </x:c>
      <x:c r="E193" s="24" t="n">
        <x:v>3767.43</x:v>
      </x:c>
      <x:c r="F193" s="24" t="n">
        <x:v>3704.991</x:v>
      </x:c>
      <x:c r="G193" s="24" t="n">
        <x:v>3766.21</x:v>
      </x:c>
      <x:c r="H193" s="24" t="n">
        <x:v>38.9</x:v>
      </x:c>
      <x:c r="I193" s="25" t="n">
        <x:v>0.010442445016322965</x:v>
      </x:c>
      <x:c r="J193" s="29" t="n">
        <x:f>ROUND(E193-F193,1)</x:f>
        <x:v>62.4</x:v>
      </x:c>
      <x:c r="K193" s="23" t="str">
        <x:v>上证指数</x:v>
      </x:c>
    </x:row>
    <x:row r="194">
      <x:c r="A194" s="23" t="n">
        <x:v>15</x:v>
      </x:c>
      <x:c r="B194" s="23" t="str">
        <x:v>周四</x:v>
      </x:c>
      <x:c r="C194" s="23" t="str">
        <x:v>8月21日</x:v>
      </x:c>
      <x:c r="D194" s="24" t="n">
        <x:v>3770.676</x:v>
      </x:c>
      <x:c r="E194" s="24" t="n">
        <x:v>3787.981</x:v>
      </x:c>
      <x:c r="F194" s="24" t="n">
        <x:v>3757.992</x:v>
      </x:c>
      <x:c r="G194" s="24" t="n">
        <x:v>3771.099</x:v>
      </x:c>
      <x:c r="H194" s="24" t="n">
        <x:v>4.9</x:v>
      </x:c>
      <x:c r="I194" s="25" t="n">
        <x:v>0.0012981219847008063</x:v>
      </x:c>
      <x:c r="J194" s="24" t="n">
        <x:f>ROUND(E194-F194,1)</x:f>
        <x:v>30</x:v>
      </x:c>
      <x:c r="K194" s="23" t="str">
        <x:v>上证指数</x:v>
      </x:c>
    </x:row>
    <x:row r="195">
      <x:c r="A195" s="23" t="n">
        <x:v>16</x:v>
      </x:c>
      <x:c r="B195" s="23" t="str">
        <x:v>周五</x:v>
      </x:c>
      <x:c r="C195" s="23" t="str">
        <x:v>8月22日</x:v>
      </x:c>
      <x:c r="D195" s="24" t="n">
        <x:v>3772.277</x:v>
      </x:c>
      <x:c r="E195" s="24" t="n">
        <x:v>3825.759</x:v>
      </x:c>
      <x:c r="F195" s="24" t="n">
        <x:v>3772.277</x:v>
      </x:c>
      <x:c r="G195" s="24" t="n">
        <x:v>3825.759</x:v>
      </x:c>
      <x:c r="H195" s="24" t="n">
        <x:v>54.7</x:v>
      </x:c>
      <x:c r="I195" s="25" t="n">
        <x:v>0.014494448435323548</x:v>
      </x:c>
      <x:c r="J195" s="29" t="n">
        <x:f>ROUND(E195-F195,1)</x:f>
        <x:v>53.5</x:v>
      </x:c>
      <x:c r="K195" s="23" t="str">
        <x:v>上证指数</x:v>
      </x:c>
    </x:row>
    <x:row r="196">
      <x:c r="A196" s="23" t="n">
        <x:v>17</x:v>
      </x:c>
      <x:c r="B196" s="23" t="str">
        <x:v>周一</x:v>
      </x:c>
      <x:c r="C196" s="23" t="str">
        <x:v>8月25日</x:v>
      </x:c>
      <x:c r="D196" s="24" t="n">
        <x:v>3848.163</x:v>
      </x:c>
      <x:c r="E196" s="24" t="n">
        <x:v>3883.562</x:v>
      </x:c>
      <x:c r="F196" s="24" t="n">
        <x:v>3839.972</x:v>
      </x:c>
      <x:c r="G196" s="24" t="n">
        <x:v>3883.562</x:v>
      </x:c>
      <x:c r="H196" s="24" t="n">
        <x:v>57.8</x:v>
      </x:c>
      <x:c r="I196" s="25" t="n">
        <x:v>0.015108897345598615</x:v>
      </x:c>
      <x:c r="J196" s="24" t="n">
        <x:f>ROUND(E196-F196,1)</x:f>
        <x:v>43.6</x:v>
      </x:c>
      <x:c r="K196" s="23" t="str">
        <x:v>上证指数</x:v>
      </x:c>
    </x:row>
    <x:row r="197">
      <x:c r="A197" s="23" t="n">
        <x:v>18</x:v>
      </x:c>
      <x:c r="B197" s="23" t="str">
        <x:v>周二</x:v>
      </x:c>
      <x:c r="C197" s="23" t="str">
        <x:v>8月26日</x:v>
      </x:c>
      <x:c r="D197" s="24" t="n">
        <x:v>3871.471</x:v>
      </x:c>
      <x:c r="E197" s="24" t="n">
        <x:v>3888.599</x:v>
      </x:c>
      <x:c r="F197" s="24" t="n">
        <x:v>3859.758</x:v>
      </x:c>
      <x:c r="G197" s="24" t="n">
        <x:v>3868.382</x:v>
      </x:c>
      <x:c r="H197" s="24" t="n">
        <x:v>-15.2</x:v>
      </x:c>
      <x:c r="I197" s="25" t="n">
        <x:v>-0.003908782710305592</x:v>
      </x:c>
      <x:c r="J197" s="24" t="n">
        <x:f>ROUND(E197-F197,1)</x:f>
        <x:v>28.8</x:v>
      </x:c>
      <x:c r="K197" s="23" t="str">
        <x:v>上证指数</x:v>
      </x:c>
    </x:row>
    <x:row r="198">
      <x:c r="A198" s="23" t="n">
        <x:v>19</x:v>
      </x:c>
      <x:c r="B198" s="23" t="str">
        <x:v>周三</x:v>
      </x:c>
      <x:c r="C198" s="23" t="str">
        <x:v>8月27日</x:v>
      </x:c>
      <x:c r="D198" s="24" t="n">
        <x:v>3869.612</x:v>
      </x:c>
      <x:c r="E198" s="24" t="n">
        <x:v>3887.198</x:v>
      </x:c>
      <x:c r="F198" s="24" t="n">
        <x:v>3800.35</x:v>
      </x:c>
      <x:c r="G198" s="24" t="n">
        <x:v>3800.35</x:v>
      </x:c>
      <x:c r="H198" s="24" t="n">
        <x:v>-68</x:v>
      </x:c>
      <x:c r="I198" s="25" t="n">
        <x:v>-0.017586680943092015</x:v>
      </x:c>
      <x:c r="J198" s="29" t="n">
        <x:f>ROUND(E198-F198,1)</x:f>
        <x:v>86.8</x:v>
      </x:c>
      <x:c r="K198" s="23" t="str">
        <x:v>上证指数</x:v>
      </x:c>
    </x:row>
    <x:row r="199">
      <x:c r="A199" s="23" t="n">
        <x:v>20</x:v>
      </x:c>
      <x:c r="B199" s="23" t="str">
        <x:v>周四</x:v>
      </x:c>
      <x:c r="C199" s="23" t="str">
        <x:v>8月28日</x:v>
      </x:c>
      <x:c r="D199" s="24" t="n">
        <x:v>3796.711</x:v>
      </x:c>
      <x:c r="E199" s="24" t="n">
        <x:v>3845.087</x:v>
      </x:c>
      <x:c r="F199" s="24" t="n">
        <x:v>3761.422</x:v>
      </x:c>
      <x:c r="G199" s="24" t="n">
        <x:v>3843.597</x:v>
      </x:c>
      <x:c r="H199" s="24" t="n">
        <x:v>43.2</x:v>
      </x:c>
      <x:c r="I199" s="25" t="n">
        <x:v>0.011379741339613503</x:v>
      </x:c>
      <x:c r="J199" s="29" t="n">
        <x:f>ROUND(E199-F199,1)</x:f>
        <x:v>83.7</x:v>
      </x:c>
      <x:c r="K199" s="23" t="str">
        <x:v>上证指数</x:v>
      </x:c>
    </x:row>
    <x:row r="200">
      <x:c r="A200" s="23" t="n">
        <x:v>21</x:v>
      </x:c>
      <x:c r="B200" s="23" t="str">
        <x:v>周五</x:v>
      </x:c>
      <x:c r="C200" s="23" t="str">
        <x:v>8月29日</x:v>
      </x:c>
      <x:c r="D200" s="24" t="n">
        <x:v>3842.823</x:v>
      </x:c>
      <x:c r="E200" s="24" t="n">
        <x:v>3867.606</x:v>
      </x:c>
      <x:c r="F200" s="24" t="n">
        <x:v>3839.206</x:v>
      </x:c>
      <x:c r="G200" s="24" t="n">
        <x:v>3857.927</x:v>
      </x:c>
      <x:c r="H200" s="24" t="n">
        <x:v>14.3</x:v>
      </x:c>
      <x:c r="I200" s="25" t="n">
        <x:v>0.003728278484971259</x:v>
      </x:c>
      <x:c r="J200" s="24" t="n">
        <x:f>ROUND(E200-F200,1)</x:f>
        <x:v>28.4</x:v>
      </x:c>
      <x:c r="K200" s="23" t="str">
        <x:v>上证指数</x:v>
      </x:c>
    </x:row>
    <x:row r="201">
      <x:c r="A201" s="38" t="str">
        <x:v>合计</x:v>
      </x:c>
      <x:c r="B201" s="37" t="n">
        <x:v>21</x:v>
      </x:c>
      <x:c r="C201" s="37"/>
      <x:c r="D201" s="37"/>
      <x:c r="E201" s="37"/>
      <x:c r="F201" s="37"/>
      <x:c r="G201" s="37"/>
      <x:c r="H201" s="37"/>
      <x:c r="I201" s="37"/>
      <x:c r="J201" s="39" t="n">
        <x:f>ROUND(SUM(J180:J200),1)</x:f>
        <x:v>807</x:v>
      </x:c>
      <x:c r="K201" s="37"/>
    </x:row>
    <x:row r="202">
      <x:c r="A202" s="38" t="str">
        <x:v>均值</x:v>
      </x:c>
      <x:c r="B202" s="37"/>
      <x:c r="C202" s="37"/>
      <x:c r="D202" s="37"/>
      <x:c r="E202" s="37"/>
      <x:c r="F202" s="37"/>
      <x:c r="G202" s="37"/>
      <x:c r="H202" s="37"/>
      <x:c r="I202" s="37"/>
      <x:c r="J202" s="41" t="n">
        <x:f>ROUND(IFERROR(AVERAGE(J180:J200),0),1)</x:f>
        <x:v>38.4</x:v>
      </x:c>
      <x:c r="K202" s="37"/>
    </x:row>
    <x:row r="204">
      <x:c r="A204" s="17" t="str">
        <x:v>9月</x:v>
      </x:c>
      <x:c r="B204" s="17"/>
      <x:c r="C204" s="17"/>
      <x:c r="D204" s="17"/>
      <x:c r="E204" s="17"/>
      <x:c r="F204" s="17"/>
      <x:c r="G204" s="17"/>
      <x:c r="H204" s="17"/>
      <x:c r="I204" s="17"/>
      <x:c r="J204" s="17"/>
      <x:c r="K204" s="17"/>
    </x:row>
    <x:row r="205">
      <x:c r="A205" s="20" t="str">
        <x:v>序号</x:v>
      </x:c>
      <x:c r="B205" s="20" t="str">
        <x:v>星期</x:v>
      </x:c>
      <x:c r="C205" s="20" t="str">
        <x:v>日期</x:v>
      </x:c>
      <x:c r="D205" s="20" t="str">
        <x:v>开盘</x:v>
      </x:c>
      <x:c r="E205" s="20" t="str">
        <x:v>高点</x:v>
      </x:c>
      <x:c r="F205" s="20" t="str">
        <x:v>低点</x:v>
      </x:c>
      <x:c r="G205" s="20" t="str">
        <x:v>收盘</x:v>
      </x:c>
      <x:c r="H205" s="20" t="str">
        <x:v>涨跌点数</x:v>
      </x:c>
      <x:c r="I205" s="20" t="str">
        <x:v>涨幅</x:v>
      </x:c>
      <x:c r="J205" s="20" t="str">
        <x:v>振幅</x:v>
      </x:c>
      <x:c r="K205" s="20" t="str">
        <x:v>标的</x:v>
      </x:c>
    </x:row>
    <x:row r="206">
      <x:c r="A206" s="23" t="n">
        <x:v>1</x:v>
      </x:c>
      <x:c r="B206" s="23" t="str">
        <x:v>周一</x:v>
      </x:c>
      <x:c r="C206" s="23" t="str">
        <x:v>9月1日</x:v>
      </x:c>
      <x:c r="D206" s="24" t="n">
        <x:v>3869.746</x:v>
      </x:c>
      <x:c r="E206" s="24" t="n">
        <x:v>3879.045</x:v>
      </x:c>
      <x:c r="F206" s="24" t="n">
        <x:v>3853.658</x:v>
      </x:c>
      <x:c r="G206" s="24" t="n">
        <x:v>3875.53</x:v>
      </x:c>
      <x:c r="H206" s="24" t="n">
        <x:v>17.6</x:v>
      </x:c>
      <x:c r="I206" s="25" t="n">
        <x:v>0.004562813137729105</x:v>
      </x:c>
      <x:c r="J206" s="24" t="n">
        <x:f>ROUND(E206-F206,1)</x:f>
        <x:v>25.4</x:v>
      </x:c>
      <x:c r="K206" s="23" t="str">
        <x:v>上证指数</x:v>
      </x:c>
    </x:row>
    <x:row r="207">
      <x:c r="A207" s="23" t="n">
        <x:v>2</x:v>
      </x:c>
      <x:c r="B207" s="23" t="str">
        <x:v>周二</x:v>
      </x:c>
      <x:c r="C207" s="23" t="str">
        <x:v>9月2日</x:v>
      </x:c>
      <x:c r="D207" s="24" t="n">
        <x:v>3877.086</x:v>
      </x:c>
      <x:c r="E207" s="24" t="n">
        <x:v>3885.315</x:v>
      </x:c>
      <x:c r="F207" s="24" t="n">
        <x:v>3828.678</x:v>
      </x:c>
      <x:c r="G207" s="24" t="n">
        <x:v>3858.133</x:v>
      </x:c>
      <x:c r="H207" s="24" t="n">
        <x:v>-17.4</x:v>
      </x:c>
      <x:c r="I207" s="25" t="n">
        <x:v>-0.004488934416712165</x:v>
      </x:c>
      <x:c r="J207" s="29" t="n">
        <x:f>ROUND(E207-F207,1)</x:f>
        <x:v>56.6</x:v>
      </x:c>
      <x:c r="K207" s="23" t="str">
        <x:v>上证指数</x:v>
      </x:c>
    </x:row>
    <x:row r="208">
      <x:c r="A208" s="23" t="n">
        <x:v>3</x:v>
      </x:c>
      <x:c r="B208" s="23" t="str">
        <x:v>周三</x:v>
      </x:c>
      <x:c r="C208" s="23" t="str">
        <x:v>9月3日</x:v>
      </x:c>
      <x:c r="D208" s="24" t="n">
        <x:v>3865.286</x:v>
      </x:c>
      <x:c r="E208" s="24" t="n">
        <x:v>3868.388</x:v>
      </x:c>
      <x:c r="F208" s="24" t="n">
        <x:v>3794.884</x:v>
      </x:c>
      <x:c r="G208" s="24" t="n">
        <x:v>3813.557</x:v>
      </x:c>
      <x:c r="H208" s="24" t="n">
        <x:v>-44.6</x:v>
      </x:c>
      <x:c r="I208" s="25" t="n">
        <x:v>-0.011553774843946596</x:v>
      </x:c>
      <x:c r="J208" s="29" t="n">
        <x:f>ROUND(E208-F208,1)</x:f>
        <x:v>73.5</x:v>
      </x:c>
      <x:c r="K208" s="23" t="str">
        <x:v>上证指数</x:v>
      </x:c>
    </x:row>
    <x:row r="209">
      <x:c r="A209" s="23" t="n">
        <x:v>4</x:v>
      </x:c>
      <x:c r="B209" s="23" t="str">
        <x:v>周四</x:v>
      </x:c>
      <x:c r="C209" s="23" t="str">
        <x:v>9月4日</x:v>
      </x:c>
      <x:c r="D209" s="24" t="n">
        <x:v>3807.757</x:v>
      </x:c>
      <x:c r="E209" s="24" t="n">
        <x:v>3808.396</x:v>
      </x:c>
      <x:c r="F209" s="24" t="n">
        <x:v>3732.84</x:v>
      </x:c>
      <x:c r="G209" s="24" t="n">
        <x:v>3765.876</x:v>
      </x:c>
      <x:c r="H209" s="24" t="n">
        <x:v>-47.7</x:v>
      </x:c>
      <x:c r="I209" s="25" t="n">
        <x:v>-0.012503025390730893</x:v>
      </x:c>
      <x:c r="J209" s="29" t="n">
        <x:f>ROUND(E209-F209,1)</x:f>
        <x:v>75.6</x:v>
      </x:c>
      <x:c r="K209" s="23" t="str">
        <x:v>上证指数</x:v>
      </x:c>
    </x:row>
    <x:row r="210">
      <x:c r="A210" s="23" t="n">
        <x:v>5</x:v>
      </x:c>
      <x:c r="B210" s="23" t="str">
        <x:v>周五</x:v>
      </x:c>
      <x:c r="C210" s="23" t="str">
        <x:v>9月5日</x:v>
      </x:c>
      <x:c r="D210" s="24" t="n">
        <x:v>3761.88</x:v>
      </x:c>
      <x:c r="E210" s="24" t="n">
        <x:v>3817.159</x:v>
      </x:c>
      <x:c r="F210" s="24" t="n">
        <x:v>3745.309</x:v>
      </x:c>
      <x:c r="G210" s="24" t="n">
        <x:v>3812.514</x:v>
      </x:c>
      <x:c r="H210" s="24" t="n">
        <x:v>46.6</x:v>
      </x:c>
      <x:c r="I210" s="25" t="n">
        <x:v>0.01238436953314448</x:v>
      </x:c>
      <x:c r="J210" s="29" t="n">
        <x:f>ROUND(E210-F210,1)</x:f>
        <x:v>71.8</x:v>
      </x:c>
      <x:c r="K210" s="23" t="str">
        <x:v>上证指数</x:v>
      </x:c>
    </x:row>
    <x:row r="211">
      <x:c r="A211" s="23" t="n">
        <x:v>6</x:v>
      </x:c>
      <x:c r="B211" s="23" t="str">
        <x:v>周一</x:v>
      </x:c>
      <x:c r="C211" s="23" t="str">
        <x:v>9月8日</x:v>
      </x:c>
      <x:c r="D211" s="24" t="n">
        <x:v>3811.669</x:v>
      </x:c>
      <x:c r="E211" s="24" t="n">
        <x:v>3833.143</x:v>
      </x:c>
      <x:c r="F211" s="24" t="n">
        <x:v>3803.603</x:v>
      </x:c>
      <x:c r="G211" s="24" t="n">
        <x:v>3826.841</x:v>
      </x:c>
      <x:c r="H211" s="24" t="n">
        <x:v>14.3</x:v>
      </x:c>
      <x:c r="I211" s="25" t="n">
        <x:v>0.003757887839887175</x:v>
      </x:c>
      <x:c r="J211" s="24" t="n">
        <x:f>ROUND(E211-F211,1)</x:f>
        <x:v>29.5</x:v>
      </x:c>
      <x:c r="K211" s="23" t="str">
        <x:v>上证指数</x:v>
      </x:c>
    </x:row>
    <x:row r="212">
      <x:c r="A212" s="23" t="n">
        <x:v>7</x:v>
      </x:c>
      <x:c r="B212" s="23" t="str">
        <x:v>周二</x:v>
      </x:c>
      <x:c r="C212" s="23" t="str">
        <x:v>9月9日</x:v>
      </x:c>
      <x:c r="D212" s="24" t="n">
        <x:v>3816.657</x:v>
      </x:c>
      <x:c r="E212" s="24" t="n">
        <x:v>3834.671</x:v>
      </x:c>
      <x:c r="F212" s="24" t="n">
        <x:v>3791.724</x:v>
      </x:c>
      <x:c r="G212" s="24" t="n">
        <x:v>3807.292</x:v>
      </x:c>
      <x:c r="H212" s="24" t="n">
        <x:v>-19.5</x:v>
      </x:c>
      <x:c r="I212" s="25" t="n">
        <x:v>-0.005108390967902721</x:v>
      </x:c>
      <x:c r="J212" s="24" t="n">
        <x:f>ROUND(E212-F212,1)</x:f>
        <x:v>42.9</x:v>
      </x:c>
      <x:c r="K212" s="23" t="str">
        <x:v>上证指数</x:v>
      </x:c>
    </x:row>
    <x:row r="213">
      <x:c r="A213" s="23" t="n">
        <x:v>8</x:v>
      </x:c>
      <x:c r="B213" s="23" t="str">
        <x:v>周三</x:v>
      </x:c>
      <x:c r="C213" s="23" t="str">
        <x:v>9月10日</x:v>
      </x:c>
      <x:c r="D213" s="24" t="n">
        <x:v>3806.584</x:v>
      </x:c>
      <x:c r="E213" s="24" t="n">
        <x:v>3826.996</x:v>
      </x:c>
      <x:c r="F213" s="24" t="n">
        <x:v>3794.057</x:v>
      </x:c>
      <x:c r="G213" s="24" t="n">
        <x:v>3812.221</x:v>
      </x:c>
      <x:c r="H213" s="24" t="n">
        <x:v>4.9</x:v>
      </x:c>
      <x:c r="I213" s="25" t="n">
        <x:v>0.00129462095368571</x:v>
      </x:c>
      <x:c r="J213" s="24" t="n">
        <x:f>ROUND(E213-F213,1)</x:f>
        <x:v>32.9</x:v>
      </x:c>
      <x:c r="K213" s="23" t="str">
        <x:v>上证指数</x:v>
      </x:c>
    </x:row>
    <x:row r="214">
      <x:c r="A214" s="23" t="n">
        <x:v>9</x:v>
      </x:c>
      <x:c r="B214" s="23" t="str">
        <x:v>周四</x:v>
      </x:c>
      <x:c r="C214" s="23" t="str">
        <x:v>9月11日</x:v>
      </x:c>
      <x:c r="D214" s="24" t="n">
        <x:v>3806.056</x:v>
      </x:c>
      <x:c r="E214" s="24" t="n">
        <x:v>3875.309</x:v>
      </x:c>
      <x:c r="F214" s="24" t="n">
        <x:v>3796.435</x:v>
      </x:c>
      <x:c r="G214" s="24" t="n">
        <x:v>3875.309</x:v>
      </x:c>
      <x:c r="H214" s="24" t="n">
        <x:v>63.1</x:v>
      </x:c>
      <x:c r="I214" s="25" t="n">
        <x:v>0.016548883183844953</x:v>
      </x:c>
      <x:c r="J214" s="29" t="n">
        <x:f>ROUND(E214-F214,1)</x:f>
        <x:v>78.9</x:v>
      </x:c>
      <x:c r="K214" s="23" t="str">
        <x:v>上证指数</x:v>
      </x:c>
    </x:row>
    <x:row r="215">
      <x:c r="A215" s="23" t="n">
        <x:v>10</x:v>
      </x:c>
      <x:c r="B215" s="23" t="str">
        <x:v>周五</x:v>
      </x:c>
      <x:c r="C215" s="23" t="str">
        <x:v>9月12日</x:v>
      </x:c>
      <x:c r="D215" s="24" t="n">
        <x:v>3875.507</x:v>
      </x:c>
      <x:c r="E215" s="24" t="n">
        <x:v>3892.738</x:v>
      </x:c>
      <x:c r="F215" s="24" t="n">
        <x:v>3866.539</x:v>
      </x:c>
      <x:c r="G215" s="24" t="n">
        <x:v>3870.598</x:v>
      </x:c>
      <x:c r="H215" s="24" t="n">
        <x:v>-4.7</x:v>
      </x:c>
      <x:c r="I215" s="25" t="n">
        <x:v>-0.0012156449975989636</x:v>
      </x:c>
      <x:c r="J215" s="24" t="n">
        <x:f>ROUND(E215-F215,1)</x:f>
        <x:v>26.2</x:v>
      </x:c>
      <x:c r="K215" s="23" t="str">
        <x:v>上证指数</x:v>
      </x:c>
    </x:row>
    <x:row r="216">
      <x:c r="A216" s="23" t="n">
        <x:v>11</x:v>
      </x:c>
      <x:c r="B216" s="23" t="str">
        <x:v>周一</x:v>
      </x:c>
      <x:c r="C216" s="23" t="str">
        <x:v>9月15日</x:v>
      </x:c>
      <x:c r="D216" s="24" t="n">
        <x:v>3876.097</x:v>
      </x:c>
      <x:c r="E216" s="24" t="n">
        <x:v>3879.737</x:v>
      </x:c>
      <x:c r="F216" s="24" t="n">
        <x:v>3855.973</x:v>
      </x:c>
      <x:c r="G216" s="24" t="n">
        <x:v>3860.504</x:v>
      </x:c>
      <x:c r="H216" s="24" t="n">
        <x:v>-10.1</x:v>
      </x:c>
      <x:c r="I216" s="25" t="n">
        <x:v>-0.0026078657613113343</x:v>
      </x:c>
      <x:c r="J216" s="24" t="n">
        <x:f>ROUND(E216-F216,1)</x:f>
        <x:v>23.8</x:v>
      </x:c>
      <x:c r="K216" s="23" t="str">
        <x:v>上证指数</x:v>
      </x:c>
    </x:row>
    <x:row r="217">
      <x:c r="A217" s="23" t="n">
        <x:v>12</x:v>
      </x:c>
      <x:c r="B217" s="23" t="str">
        <x:v>周二</x:v>
      </x:c>
      <x:c r="C217" s="23" t="str">
        <x:v>9月16日</x:v>
      </x:c>
      <x:c r="D217" s="24" t="n">
        <x:v>3865.98</x:v>
      </x:c>
      <x:c r="E217" s="24" t="n">
        <x:v>3876.69</x:v>
      </x:c>
      <x:c r="F217" s="24" t="n">
        <x:v>3838.648</x:v>
      </x:c>
      <x:c r="G217" s="24" t="n">
        <x:v>3861.865</x:v>
      </x:c>
      <x:c r="H217" s="24" t="n">
        <x:v>1.4</x:v>
      </x:c>
      <x:c r="I217" s="25" t="n">
        <x:v>0.00035254464183953615</x:v>
      </x:c>
      <x:c r="J217" s="24" t="n">
        <x:f>ROUND(E217-F217,1)</x:f>
        <x:v>38</x:v>
      </x:c>
      <x:c r="K217" s="23" t="str">
        <x:v>上证指数</x:v>
      </x:c>
    </x:row>
    <x:row r="218">
      <x:c r="A218" s="23" t="n">
        <x:v>13</x:v>
      </x:c>
      <x:c r="B218" s="23" t="str">
        <x:v>周三</x:v>
      </x:c>
      <x:c r="C218" s="23" t="str">
        <x:v>9月17日</x:v>
      </x:c>
      <x:c r="D218" s="24" t="n">
        <x:v>3854.073</x:v>
      </x:c>
      <x:c r="E218" s="24" t="n">
        <x:v>3882.669</x:v>
      </x:c>
      <x:c r="F218" s="24" t="n">
        <x:v>3848.946</x:v>
      </x:c>
      <x:c r="G218" s="24" t="n">
        <x:v>3876.341</x:v>
      </x:c>
      <x:c r="H218" s="24" t="n">
        <x:v>14.5</x:v>
      </x:c>
      <x:c r="I218" s="25" t="n">
        <x:v>0.0037484479649081415</x:v>
      </x:c>
      <x:c r="J218" s="24" t="n">
        <x:f>ROUND(E218-F218,1)</x:f>
        <x:v>33.7</x:v>
      </x:c>
      <x:c r="K218" s="23" t="str">
        <x:v>上证指数</x:v>
      </x:c>
    </x:row>
    <x:row r="219">
      <x:c r="A219" s="23" t="n">
        <x:v>14</x:v>
      </x:c>
      <x:c r="B219" s="23" t="str">
        <x:v>周四</x:v>
      </x:c>
      <x:c r="C219" s="23" t="str">
        <x:v>9月18日</x:v>
      </x:c>
      <x:c r="D219" s="24" t="n">
        <x:v>3876.059</x:v>
      </x:c>
      <x:c r="E219" s="24" t="n">
        <x:v>3899.959</x:v>
      </x:c>
      <x:c r="F219" s="24" t="n">
        <x:v>3800.995</x:v>
      </x:c>
      <x:c r="G219" s="24" t="n">
        <x:v>3831.656</x:v>
      </x:c>
      <x:c r="H219" s="24" t="n">
        <x:v>-44.7</x:v>
      </x:c>
      <x:c r="I219" s="25" t="n">
        <x:v>-0.011527623601741976</x:v>
      </x:c>
      <x:c r="J219" s="29" t="n">
        <x:f>ROUND(E219-F219,1)</x:f>
        <x:v>99</x:v>
      </x:c>
      <x:c r="K219" s="23" t="str">
        <x:v>上证指数</x:v>
      </x:c>
    </x:row>
    <x:row r="220">
      <x:c r="A220" s="33" t="n">
        <x:v>15</x:v>
      </x:c>
      <x:c r="B220" s="33" t="str">
        <x:v>周五</x:v>
      </x:c>
      <x:c r="C220" s="33" t="str">
        <x:v>9月19日</x:v>
      </x:c>
      <x:c r="D220" s="34" t="n">
        <x:v>3830.444</x:v>
      </x:c>
      <x:c r="E220" s="34" t="n">
        <x:v>3843.17</x:v>
      </x:c>
      <x:c r="F220" s="34" t="n">
        <x:v>3811.903</x:v>
      </x:c>
      <x:c r="G220" s="34" t="n">
        <x:v>3820.089</x:v>
      </x:c>
      <x:c r="H220" s="34" t="n">
        <x:v>-11.6</x:v>
      </x:c>
      <x:c r="I220" s="35" t="n">
        <x:v>-0.0030187991823901195</x:v>
      </x:c>
      <x:c r="J220" s="34" t="n">
        <x:f>ROUND(E220-F220,1)</x:f>
        <x:v>31.3</x:v>
      </x:c>
      <x:c r="K220" s="33" t="str">
        <x:v>上证指数</x:v>
      </x:c>
    </x:row>
    <x:row r="221">
      <x:c r="A221" s="23" t="n">
        <x:v>16</x:v>
      </x:c>
      <x:c r="B221" s="23" t="str">
        <x:v>周一</x:v>
      </x:c>
      <x:c r="C221" s="23" t="str">
        <x:v>9月22日</x:v>
      </x:c>
      <x:c r="D221" s="24" t="n">
        <x:v>3822.01</x:v>
      </x:c>
      <x:c r="E221" s="24" t="n">
        <x:v>3831.74</x:v>
      </x:c>
      <x:c r="F221" s="24" t="n">
        <x:v>3806.202</x:v>
      </x:c>
      <x:c r="G221" s="24" t="n">
        <x:v>3828.576</x:v>
      </x:c>
      <x:c r="H221" s="24" t="n">
        <x:v>8.5</x:v>
      </x:c>
      <x:c r="I221" s="25" t="n">
        <x:v>0.0022216759871300784</x:v>
      </x:c>
      <x:c r="J221" s="24" t="n">
        <x:f>ROUND(E221-F221,1)</x:f>
        <x:v>25.5</x:v>
      </x:c>
      <x:c r="K221" s="23" t="str">
        <x:v>上证指数</x:v>
      </x:c>
    </x:row>
    <x:row r="222">
      <x:c r="A222" s="23" t="n">
        <x:v>17</x:v>
      </x:c>
      <x:c r="B222" s="23" t="str">
        <x:v>周二</x:v>
      </x:c>
      <x:c r="C222" s="23" t="str">
        <x:v>9月23日</x:v>
      </x:c>
      <x:c r="D222" s="24" t="n">
        <x:v>3830.138</x:v>
      </x:c>
      <x:c r="E222" s="24" t="n">
        <x:v>3838.606</x:v>
      </x:c>
      <x:c r="F222" s="24" t="n">
        <x:v>3774.528</x:v>
      </x:c>
      <x:c r="G222" s="24" t="n">
        <x:v>3821.833</x:v>
      </x:c>
      <x:c r="H222" s="24" t="n">
        <x:v>-6.7</x:v>
      </x:c>
      <x:c r="I222" s="25" t="n">
        <x:v>-0.001761229240323292</x:v>
      </x:c>
      <x:c r="J222" s="29" t="n">
        <x:f>ROUND(E222-F222,1)</x:f>
        <x:v>64.1</x:v>
      </x:c>
      <x:c r="K222" s="23" t="str">
        <x:v>上证指数</x:v>
      </x:c>
    </x:row>
    <x:row r="223">
      <x:c r="A223" s="23" t="n">
        <x:v>18</x:v>
      </x:c>
      <x:c r="B223" s="23" t="str">
        <x:v>周三</x:v>
      </x:c>
      <x:c r="C223" s="23" t="str">
        <x:v>9月24日</x:v>
      </x:c>
      <x:c r="D223" s="24" t="n">
        <x:v>3804.483</x:v>
      </x:c>
      <x:c r="E223" s="24" t="n">
        <x:v>3854.923</x:v>
      </x:c>
      <x:c r="F223" s="24" t="n">
        <x:v>3804.328</x:v>
      </x:c>
      <x:c r="G223" s="24" t="n">
        <x:v>3853.642</x:v>
      </x:c>
      <x:c r="H223" s="24" t="n">
        <x:v>31.8</x:v>
      </x:c>
      <x:c r="I223" s="25" t="n">
        <x:v>0.008322969632634347</x:v>
      </x:c>
      <x:c r="J223" s="29" t="n">
        <x:f>ROUND(E223-F223,1)</x:f>
        <x:v>50.6</x:v>
      </x:c>
      <x:c r="K223" s="23" t="str">
        <x:v>上证指数</x:v>
      </x:c>
    </x:row>
    <x:row r="224">
      <x:c r="A224" s="23" t="n">
        <x:v>19</x:v>
      </x:c>
      <x:c r="B224" s="23" t="str">
        <x:v>周四</x:v>
      </x:c>
      <x:c r="C224" s="23" t="str">
        <x:v>9月25日</x:v>
      </x:c>
      <x:c r="D224" s="24" t="n">
        <x:v>3852.431</x:v>
      </x:c>
      <x:c r="E224" s="24" t="n">
        <x:v>3866.106</x:v>
      </x:c>
      <x:c r="F224" s="24" t="n">
        <x:v>3840.459</x:v>
      </x:c>
      <x:c r="G224" s="24" t="n">
        <x:v>3853.302</x:v>
      </x:c>
      <x:c r="H224" s="24" t="n">
        <x:v>-0.3</x:v>
      </x:c>
      <x:c r="I224" s="25" t="n">
        <x:v>-0.00008822822670073727</x:v>
      </x:c>
      <x:c r="J224" s="24" t="n">
        <x:f>ROUND(E224-F224,1)</x:f>
        <x:v>25.6</x:v>
      </x:c>
      <x:c r="K224" s="23" t="str">
        <x:v>上证指数</x:v>
      </x:c>
    </x:row>
    <x:row r="225">
      <x:c r="A225" s="23" t="n">
        <x:v>20</x:v>
      </x:c>
      <x:c r="B225" s="23" t="str">
        <x:v>周五</x:v>
      </x:c>
      <x:c r="C225" s="23" t="str">
        <x:v>9月26日</x:v>
      </x:c>
      <x:c r="D225" s="24" t="n">
        <x:v>3839.855</x:v>
      </x:c>
      <x:c r="E225" s="24" t="n">
        <x:v>3856.606</x:v>
      </x:c>
      <x:c r="F225" s="24" t="n">
        <x:v>3828.106</x:v>
      </x:c>
      <x:c r="G225" s="24" t="n">
        <x:v>3828.106</x:v>
      </x:c>
      <x:c r="H225" s="24" t="n">
        <x:v>-25.2</x:v>
      </x:c>
      <x:c r="I225" s="25" t="n">
        <x:v>-0.006538807495493404</x:v>
      </x:c>
      <x:c r="J225" s="24" t="n">
        <x:f>ROUND(E225-F225,1)</x:f>
        <x:v>28.5</x:v>
      </x:c>
      <x:c r="K225" s="23" t="str">
        <x:v>上证指数</x:v>
      </x:c>
    </x:row>
    <x:row r="226">
      <x:c r="A226" s="23" t="n">
        <x:v>21</x:v>
      </x:c>
      <x:c r="B226" s="23" t="str">
        <x:v>周一</x:v>
      </x:c>
      <x:c r="C226" s="23" t="str">
        <x:v>9月29日</x:v>
      </x:c>
      <x:c r="D226" s="24" t="n">
        <x:v>3828.166</x:v>
      </x:c>
      <x:c r="E226" s="24" t="n">
        <x:v>3881.002</x:v>
      </x:c>
      <x:c r="F226" s="24" t="n">
        <x:v>3809.535</x:v>
      </x:c>
      <x:c r="G226" s="24" t="n">
        <x:v>3862.532</x:v>
      </x:c>
      <x:c r="H226" s="24" t="n">
        <x:v>34.4</x:v>
      </x:c>
      <x:c r="I226" s="25" t="n">
        <x:v>0.00899295892015517</x:v>
      </x:c>
      <x:c r="J226" s="29" t="n">
        <x:f>ROUND(E226-F226,1)</x:f>
        <x:v>71.5</x:v>
      </x:c>
      <x:c r="K226" s="23" t="str">
        <x:v>上证指数</x:v>
      </x:c>
    </x:row>
    <x:row r="227">
      <x:c r="A227" s="23" t="n">
        <x:v>22</x:v>
      </x:c>
      <x:c r="B227" s="23" t="str">
        <x:v>周二</x:v>
      </x:c>
      <x:c r="C227" s="23" t="str">
        <x:v>9月30日</x:v>
      </x:c>
      <x:c r="D227" s="24" t="n">
        <x:v>3869.705</x:v>
      </x:c>
      <x:c r="E227" s="24" t="n">
        <x:v>3887.57</x:v>
      </x:c>
      <x:c r="F227" s="24" t="n">
        <x:v>3866.281</x:v>
      </x:c>
      <x:c r="G227" s="24" t="n">
        <x:v>3882.777</x:v>
      </x:c>
      <x:c r="H227" s="24" t="n">
        <x:v>20.2</x:v>
      </x:c>
      <x:c r="I227" s="25" t="n">
        <x:v>0.005241380524484862</x:v>
      </x:c>
      <x:c r="J227" s="24" t="n">
        <x:f>ROUND(E227-F227,1)</x:f>
        <x:v>21.3</x:v>
      </x:c>
      <x:c r="K227" s="23" t="str">
        <x:v>上证指数</x:v>
      </x:c>
    </x:row>
    <x:row r="228">
      <x:c r="A228" s="38" t="str">
        <x:v>合计</x:v>
      </x:c>
      <x:c r="B228" s="37" t="n">
        <x:v>22</x:v>
      </x:c>
      <x:c r="C228" s="37"/>
      <x:c r="D228" s="37"/>
      <x:c r="E228" s="37"/>
      <x:c r="F228" s="37"/>
      <x:c r="G228" s="37"/>
      <x:c r="H228" s="37"/>
      <x:c r="I228" s="37"/>
      <x:c r="J228" s="39" t="n">
        <x:f>ROUND(SUM(J206:J227),1)</x:f>
        <x:v>1026.2</x:v>
      </x:c>
      <x:c r="K228" s="37"/>
    </x:row>
    <x:row r="229">
      <x:c r="A229" s="38" t="str">
        <x:v>均值</x:v>
      </x:c>
      <x:c r="B229" s="37"/>
      <x:c r="C229" s="37"/>
      <x:c r="D229" s="37"/>
      <x:c r="E229" s="37"/>
      <x:c r="F229" s="37"/>
      <x:c r="G229" s="37"/>
      <x:c r="H229" s="37"/>
      <x:c r="I229" s="37"/>
      <x:c r="J229" s="41" t="n">
        <x:f>ROUND(IFERROR(AVERAGE(J206:J227),0),1)</x:f>
        <x:v>46.6</x:v>
      </x:c>
      <x:c r="K229" s="37"/>
    </x:row>
    <x:row r="231">
      <x:c r="A231" s="17" t="str">
        <x:v>10月</x:v>
      </x:c>
      <x:c r="B231" s="17"/>
      <x:c r="C231" s="17"/>
      <x:c r="D231" s="17"/>
      <x:c r="E231" s="17"/>
      <x:c r="F231" s="17"/>
      <x:c r="G231" s="17"/>
      <x:c r="H231" s="17"/>
      <x:c r="I231" s="17"/>
      <x:c r="J231" s="17"/>
      <x:c r="K231" s="17"/>
    </x:row>
    <x:row r="232">
      <x:c r="A232" s="20" t="str">
        <x:v>序号</x:v>
      </x:c>
      <x:c r="B232" s="20" t="str">
        <x:v>星期</x:v>
      </x:c>
      <x:c r="C232" s="20" t="str">
        <x:v>日期</x:v>
      </x:c>
      <x:c r="D232" s="20" t="str">
        <x:v>开盘</x:v>
      </x:c>
      <x:c r="E232" s="20" t="str">
        <x:v>高点</x:v>
      </x:c>
      <x:c r="F232" s="20" t="str">
        <x:v>低点</x:v>
      </x:c>
      <x:c r="G232" s="20" t="str">
        <x:v>收盘</x:v>
      </x:c>
      <x:c r="H232" s="20" t="str">
        <x:v>涨跌点数</x:v>
      </x:c>
      <x:c r="I232" s="20" t="str">
        <x:v>涨幅</x:v>
      </x:c>
      <x:c r="J232" s="20" t="str">
        <x:v>振幅</x:v>
      </x:c>
      <x:c r="K232" s="20" t="str">
        <x:v>标的</x:v>
      </x:c>
    </x:row>
    <x:row r="233">
      <x:c r="A233" s="23" t="n">
        <x:v>1</x:v>
      </x:c>
      <x:c r="B233" s="23" t="str">
        <x:v>周四</x:v>
      </x:c>
      <x:c r="C233" s="23" t="str">
        <x:v>10月9日</x:v>
      </x:c>
      <x:c r="D233" s="24" t="n">
        <x:v>3898.307</x:v>
      </x:c>
      <x:c r="E233" s="24" t="n">
        <x:v>3936.576</x:v>
      </x:c>
      <x:c r="F233" s="24" t="n">
        <x:v>3885.744</x:v>
      </x:c>
      <x:c r="G233" s="24" t="n">
        <x:v>3933.972</x:v>
      </x:c>
      <x:c r="H233" s="24" t="n">
        <x:v>51.2</x:v>
      </x:c>
      <x:c r="I233" s="25" t="n">
        <x:v>0.0131851507310361</x:v>
      </x:c>
      <x:c r="J233" s="29" t="n">
        <x:f>ROUND(E233-F233,1)</x:f>
        <x:v>50.8</x:v>
      </x:c>
      <x:c r="K233" s="23" t="str">
        <x:v>上证指数</x:v>
      </x:c>
    </x:row>
    <x:row r="234">
      <x:c r="A234" s="23" t="n">
        <x:v>2</x:v>
      </x:c>
      <x:c r="B234" s="23" t="str">
        <x:v>周五</x:v>
      </x:c>
      <x:c r="C234" s="23" t="str">
        <x:v>10月10日</x:v>
      </x:c>
      <x:c r="D234" s="24" t="n">
        <x:v>3915.475</x:v>
      </x:c>
      <x:c r="E234" s="24" t="n">
        <x:v>3933.005</x:v>
      </x:c>
      <x:c r="F234" s="24" t="n">
        <x:v>3886.305</x:v>
      </x:c>
      <x:c r="G234" s="24" t="n">
        <x:v>3897.028</x:v>
      </x:c>
      <x:c r="H234" s="24" t="n">
        <x:v>-36.9</x:v>
      </x:c>
      <x:c r="I234" s="25" t="n">
        <x:v>-0.009391017526306888</x:v>
      </x:c>
      <x:c r="J234" s="24" t="n">
        <x:f>ROUND(E234-F234,1)</x:f>
        <x:v>46.7</x:v>
      </x:c>
      <x:c r="K234" s="23" t="str">
        <x:v>上证指数</x:v>
      </x:c>
    </x:row>
    <x:row r="235">
      <x:c r="A235" s="23" t="n">
        <x:v>3</x:v>
      </x:c>
      <x:c r="B235" s="23" t="str">
        <x:v>周一</x:v>
      </x:c>
      <x:c r="C235" s="23" t="str">
        <x:v>10月13日</x:v>
      </x:c>
      <x:c r="D235" s="24" t="n">
        <x:v>3800.106</x:v>
      </x:c>
      <x:c r="E235" s="24" t="n">
        <x:v>3895.83</x:v>
      </x:c>
      <x:c r="F235" s="24" t="n">
        <x:v>3800.106</x:v>
      </x:c>
      <x:c r="G235" s="24" t="n">
        <x:v>3889.502</x:v>
      </x:c>
      <x:c r="H235" s="24" t="n">
        <x:v>-7.5</x:v>
      </x:c>
      <x:c r="I235" s="25" t="n">
        <x:v>-0.0019312152748196532</x:v>
      </x:c>
      <x:c r="J235" s="29" t="n">
        <x:f>ROUND(E235-F235,1)</x:f>
        <x:v>95.7</x:v>
      </x:c>
      <x:c r="K235" s="23" t="str">
        <x:v>上证指数</x:v>
      </x:c>
    </x:row>
    <x:row r="236">
      <x:c r="A236" s="23" t="n">
        <x:v>4</x:v>
      </x:c>
      <x:c r="B236" s="23" t="str">
        <x:v>周二</x:v>
      </x:c>
      <x:c r="C236" s="23" t="str">
        <x:v>10月14日</x:v>
      </x:c>
      <x:c r="D236" s="24" t="n">
        <x:v>3910.783</x:v>
      </x:c>
      <x:c r="E236" s="24" t="n">
        <x:v>3918.436</x:v>
      </x:c>
      <x:c r="F236" s="24" t="n">
        <x:v>3851.121</x:v>
      </x:c>
      <x:c r="G236" s="24" t="n">
        <x:v>3865.229</x:v>
      </x:c>
      <x:c r="H236" s="24" t="n">
        <x:v>-24.3</x:v>
      </x:c>
      <x:c r="I236" s="25" t="n">
        <x:v>-0.006240644689217367</x:v>
      </x:c>
      <x:c r="J236" s="29" t="n">
        <x:f>ROUND(E236-F236,1)</x:f>
        <x:v>67.3</x:v>
      </x:c>
      <x:c r="K236" s="23" t="str">
        <x:v>上证指数</x:v>
      </x:c>
    </x:row>
    <x:row r="237">
      <x:c r="A237" s="23" t="n">
        <x:v>5</x:v>
      </x:c>
      <x:c r="B237" s="23" t="str">
        <x:v>周三</x:v>
      </x:c>
      <x:c r="C237" s="23" t="str">
        <x:v>10月15日</x:v>
      </x:c>
      <x:c r="D237" s="24" t="n">
        <x:v>3867.536</x:v>
      </x:c>
      <x:c r="E237" s="24" t="n">
        <x:v>3912.291</x:v>
      </x:c>
      <x:c r="F237" s="24" t="n">
        <x:v>3857.667</x:v>
      </x:c>
      <x:c r="G237" s="24" t="n">
        <x:v>3912.21</x:v>
      </x:c>
      <x:c r="H237" s="24" t="n">
        <x:v>47</x:v>
      </x:c>
      <x:c r="I237" s="25" t="n">
        <x:v>0.012154777892849467</x:v>
      </x:c>
      <x:c r="J237" s="29" t="n">
        <x:f>ROUND(E237-F237,1)</x:f>
        <x:v>54.6</x:v>
      </x:c>
      <x:c r="K237" s="23" t="str">
        <x:v>上证指数</x:v>
      </x:c>
    </x:row>
    <x:row r="238">
      <x:c r="A238" s="23" t="n">
        <x:v>6</x:v>
      </x:c>
      <x:c r="B238" s="23" t="str">
        <x:v>周四</x:v>
      </x:c>
      <x:c r="C238" s="23" t="str">
        <x:v>10月16日</x:v>
      </x:c>
      <x:c r="D238" s="24" t="n">
        <x:v>3900.683</x:v>
      </x:c>
      <x:c r="E238" s="24" t="n">
        <x:v>3931.05</x:v>
      </x:c>
      <x:c r="F238" s="24" t="n">
        <x:v>3899.167</x:v>
      </x:c>
      <x:c r="G238" s="24" t="n">
        <x:v>3916.228</x:v>
      </x:c>
      <x:c r="H238" s="24" t="n">
        <x:v>4</x:v>
      </x:c>
      <x:c r="I238" s="25" t="n">
        <x:v>0.0010270409819512771</x:v>
      </x:c>
      <x:c r="J238" s="24" t="n">
        <x:f>ROUND(E238-F238,1)</x:f>
        <x:v>31.9</x:v>
      </x:c>
      <x:c r="K238" s="23" t="str">
        <x:v>上证指数</x:v>
      </x:c>
    </x:row>
    <x:row r="239">
      <x:c r="A239" s="33" t="n">
        <x:v>7</x:v>
      </x:c>
      <x:c r="B239" s="33" t="str">
        <x:v>周五</x:v>
      </x:c>
      <x:c r="C239" s="33" t="str">
        <x:v>10月17日</x:v>
      </x:c>
      <x:c r="D239" s="34" t="n">
        <x:v>3912.04</x:v>
      </x:c>
      <x:c r="E239" s="34" t="n">
        <x:v>3921.065</x:v>
      </x:c>
      <x:c r="F239" s="34" t="n">
        <x:v>3835.365</x:v>
      </x:c>
      <x:c r="G239" s="34" t="n">
        <x:v>3839.755</x:v>
      </x:c>
      <x:c r="H239" s="34" t="n">
        <x:v>-76.5</x:v>
      </x:c>
      <x:c r="I239" s="35" t="n">
        <x:v>-0.019527208323927958</x:v>
      </x:c>
      <x:c r="J239" s="29" t="n">
        <x:f>ROUND(E239-F239,1)</x:f>
        <x:v>85.7</x:v>
      </x:c>
      <x:c r="K239" s="33" t="str">
        <x:v>上证指数</x:v>
      </x:c>
    </x:row>
    <x:row r="240">
      <x:c r="A240" s="23" t="n">
        <x:v>8</x:v>
      </x:c>
      <x:c r="B240" s="23" t="str">
        <x:v>周一</x:v>
      </x:c>
      <x:c r="C240" s="23" t="str">
        <x:v>10月20日</x:v>
      </x:c>
      <x:c r="D240" s="24" t="n">
        <x:v>3865.552</x:v>
      </x:c>
      <x:c r="E240" s="24" t="n">
        <x:v>3877.722</x:v>
      </x:c>
      <x:c r="F240" s="24" t="n">
        <x:v>3850.367</x:v>
      </x:c>
      <x:c r="G240" s="24" t="n">
        <x:v>3863.893</x:v>
      </x:c>
      <x:c r="H240" s="24" t="n">
        <x:v>24.1</x:v>
      </x:c>
      <x:c r="I240" s="25" t="n">
        <x:v>0.006286338581497963</x:v>
      </x:c>
      <x:c r="J240" s="24" t="n">
        <x:f>ROUND(E240-F240,1)</x:f>
        <x:v>27.4</x:v>
      </x:c>
      <x:c r="K240" s="23" t="str">
        <x:v>上证指数</x:v>
      </x:c>
    </x:row>
    <x:row r="241">
      <x:c r="A241" s="23" t="n">
        <x:v>9</x:v>
      </x:c>
      <x:c r="B241" s="23" t="str">
        <x:v>周二</x:v>
      </x:c>
      <x:c r="C241" s="23" t="str">
        <x:v>10月21日</x:v>
      </x:c>
      <x:c r="D241" s="24" t="n">
        <x:v>3870.749</x:v>
      </x:c>
      <x:c r="E241" s="24" t="n">
        <x:v>3919.318</x:v>
      </x:c>
      <x:c r="F241" s="24" t="n">
        <x:v>3868.145</x:v>
      </x:c>
      <x:c r="G241" s="24" t="n">
        <x:v>3916.332</x:v>
      </x:c>
      <x:c r="H241" s="24" t="n">
        <x:v>52.4</x:v>
      </x:c>
      <x:c r="I241" s="25" t="n">
        <x:v>0.013571545588865863</x:v>
      </x:c>
      <x:c r="J241" s="29" t="n">
        <x:f>ROUND(E241-F241,1)</x:f>
        <x:v>51.2</x:v>
      </x:c>
      <x:c r="K241" s="23" t="str">
        <x:v>上证指数</x:v>
      </x:c>
    </x:row>
    <x:row r="242">
      <x:c r="A242" s="23" t="n">
        <x:v>10</x:v>
      </x:c>
      <x:c r="B242" s="23" t="str">
        <x:v>周三</x:v>
      </x:c>
      <x:c r="C242" s="23" t="str">
        <x:v>10月22日</x:v>
      </x:c>
      <x:c r="D242" s="24" t="n">
        <x:v>3896.074</x:v>
      </x:c>
      <x:c r="E242" s="24" t="n">
        <x:v>3918.592</x:v>
      </x:c>
      <x:c r="F242" s="24" t="n">
        <x:v>3893.325</x:v>
      </x:c>
      <x:c r="G242" s="24" t="n">
        <x:v>3913.758</x:v>
      </x:c>
      <x:c r="H242" s="24" t="n">
        <x:v>-2.6</x:v>
      </x:c>
      <x:c r="I242" s="25" t="n">
        <x:v>-0.0006572476490757095</x:v>
      </x:c>
      <x:c r="J242" s="24" t="n">
        <x:f>ROUND(E242-F242,1)</x:f>
        <x:v>25.3</x:v>
      </x:c>
      <x:c r="K242" s="23" t="str">
        <x:v>上证指数</x:v>
      </x:c>
    </x:row>
    <x:row r="243">
      <x:c r="A243" s="23" t="n">
        <x:v>11</x:v>
      </x:c>
      <x:c r="B243" s="23" t="str">
        <x:v>周四</x:v>
      </x:c>
      <x:c r="C243" s="23" t="str">
        <x:v>10月23日</x:v>
      </x:c>
      <x:c r="D243" s="24" t="n">
        <x:v>3904.159</x:v>
      </x:c>
      <x:c r="E243" s="24" t="n">
        <x:v>3926.217</x:v>
      </x:c>
      <x:c r="F243" s="24" t="n">
        <x:v>3877.529</x:v>
      </x:c>
      <x:c r="G243" s="24" t="n">
        <x:v>3922.41</x:v>
      </x:c>
      <x:c r="H243" s="24" t="n">
        <x:v>8.7</x:v>
      </x:c>
      <x:c r="I243" s="25" t="n">
        <x:v>0.0022106629996030414</x:v>
      </x:c>
      <x:c r="J243" s="24" t="n">
        <x:f>ROUND(E243-F243,1)</x:f>
        <x:v>48.7</x:v>
      </x:c>
      <x:c r="K243" s="23" t="str">
        <x:v>上证指数</x:v>
      </x:c>
    </x:row>
    <x:row r="244">
      <x:c r="A244" s="23" t="n">
        <x:v>12</x:v>
      </x:c>
      <x:c r="B244" s="23" t="str">
        <x:v>周五</x:v>
      </x:c>
      <x:c r="C244" s="23" t="str">
        <x:v>10月24日</x:v>
      </x:c>
      <x:c r="D244" s="24" t="n">
        <x:v>3929.115</x:v>
      </x:c>
      <x:c r="E244" s="24" t="n">
        <x:v>3950.312</x:v>
      </x:c>
      <x:c r="F244" s="24" t="n">
        <x:v>3928.96</x:v>
      </x:c>
      <x:c r="G244" s="24" t="n">
        <x:v>3950.312</x:v>
      </x:c>
      <x:c r="H244" s="24" t="n">
        <x:v>27.9</x:v>
      </x:c>
      <x:c r="I244" s="25" t="n">
        <x:v>0.007113483802050347</x:v>
      </x:c>
      <x:c r="J244" s="24" t="n">
        <x:f>ROUND(E244-F244,1)</x:f>
        <x:v>21.4</x:v>
      </x:c>
      <x:c r="K244" s="23" t="str">
        <x:v>上证指数</x:v>
      </x:c>
    </x:row>
    <x:row r="245">
      <x:c r="A245" s="23" t="n">
        <x:v>13</x:v>
      </x:c>
      <x:c r="B245" s="23" t="str">
        <x:v>周一</x:v>
      </x:c>
      <x:c r="C245" s="23" t="str">
        <x:v>10月27日</x:v>
      </x:c>
      <x:c r="D245" s="24" t="n">
        <x:v>3969.22</x:v>
      </x:c>
      <x:c r="E245" s="24" t="n">
        <x:v>3999.067</x:v>
      </x:c>
      <x:c r="F245" s="24" t="n">
        <x:v>3963.102</x:v>
      </x:c>
      <x:c r="G245" s="24" t="n">
        <x:v>3996.945</x:v>
      </x:c>
      <x:c r="H245" s="24" t="n">
        <x:v>46.6</x:v>
      </x:c>
      <x:c r="I245" s="25" t="n">
        <x:v>0.011804890347901775</x:v>
      </x:c>
      <x:c r="J245" s="24" t="n">
        <x:f>ROUND(E245-F245,1)</x:f>
        <x:v>36</x:v>
      </x:c>
      <x:c r="K245" s="23" t="str">
        <x:v>上证指数</x:v>
      </x:c>
    </x:row>
    <x:row r="246">
      <x:c r="A246" s="23" t="n">
        <x:v>14</x:v>
      </x:c>
      <x:c r="B246" s="23" t="str">
        <x:v>周二</x:v>
      </x:c>
      <x:c r="C246" s="23" t="str">
        <x:v>10月28日</x:v>
      </x:c>
      <x:c r="D246" s="24" t="n">
        <x:v>3986.891</x:v>
      </x:c>
      <x:c r="E246" s="24" t="n">
        <x:v>4010.728</x:v>
      </x:c>
      <x:c r="F246" s="24" t="n">
        <x:v>3976.833</x:v>
      </x:c>
      <x:c r="G246" s="24" t="n">
        <x:v>3988.224</x:v>
      </x:c>
      <x:c r="H246" s="24" t="n">
        <x:v>-8.7</x:v>
      </x:c>
      <x:c r="I246" s="25" t="n">
        <x:v>-0.0021819164386800427</x:v>
      </x:c>
      <x:c r="J246" s="24" t="n">
        <x:f>ROUND(E246-F246,1)</x:f>
        <x:v>33.9</x:v>
      </x:c>
      <x:c r="K246" s="23" t="str">
        <x:v>上证指数</x:v>
      </x:c>
    </x:row>
    <x:row r="247">
      <x:c r="A247" s="23" t="n">
        <x:v>15</x:v>
      </x:c>
      <x:c r="B247" s="23" t="str">
        <x:v>周三</x:v>
      </x:c>
      <x:c r="C247" s="23" t="str">
        <x:v>10月29日</x:v>
      </x:c>
      <x:c r="D247" s="24" t="n">
        <x:v>3990.266</x:v>
      </x:c>
      <x:c r="E247" s="24" t="n">
        <x:v>4016.331</x:v>
      </x:c>
      <x:c r="F247" s="24" t="n">
        <x:v>3986.941</x:v>
      </x:c>
      <x:c r="G247" s="24" t="n">
        <x:v>4016.331</x:v>
      </x:c>
      <x:c r="H247" s="24" t="n">
        <x:v>28.1</x:v>
      </x:c>
      <x:c r="I247" s="25" t="n">
        <x:v>0.0070474978336221294</x:v>
      </x:c>
      <x:c r="J247" s="24" t="n">
        <x:f>ROUND(E247-F247,1)</x:f>
        <x:v>29.4</x:v>
      </x:c>
      <x:c r="K247" s="23" t="str">
        <x:v>上证指数</x:v>
      </x:c>
    </x:row>
    <x:row r="248">
      <x:c r="A248" s="23" t="n">
        <x:v>16</x:v>
      </x:c>
      <x:c r="B248" s="23" t="str">
        <x:v>周四</x:v>
      </x:c>
      <x:c r="C248" s="23" t="str">
        <x:v>10月30日</x:v>
      </x:c>
      <x:c r="D248" s="24" t="n">
        <x:v>4007.821</x:v>
      </x:c>
      <x:c r="E248" s="24" t="n">
        <x:v>4025.705</x:v>
      </x:c>
      <x:c r="F248" s="24" t="n">
        <x:v>3984.828</x:v>
      </x:c>
      <x:c r="G248" s="24" t="n">
        <x:v>3986.901</x:v>
      </x:c>
      <x:c r="H248" s="24" t="n">
        <x:v>-29.4</x:v>
      </x:c>
      <x:c r="I248" s="25" t="n">
        <x:v>-0.007327583309244212</x:v>
      </x:c>
      <x:c r="J248" s="24" t="n">
        <x:f>ROUND(E248-F248,1)</x:f>
        <x:v>40.9</x:v>
      </x:c>
      <x:c r="K248" s="23" t="str">
        <x:v>上证指数</x:v>
      </x:c>
    </x:row>
    <x:row r="249">
      <x:c r="A249" s="23" t="n">
        <x:v>17</x:v>
      </x:c>
      <x:c r="B249" s="23" t="str">
        <x:v>周五</x:v>
      </x:c>
      <x:c r="C249" s="23" t="str">
        <x:v>10月31日</x:v>
      </x:c>
      <x:c r="D249" s="24" t="n">
        <x:v>3985.064</x:v>
      </x:c>
      <x:c r="E249" s="24" t="n">
        <x:v>3986.743</x:v>
      </x:c>
      <x:c r="F249" s="24" t="n">
        <x:v>3951.731</x:v>
      </x:c>
      <x:c r="G249" s="24" t="n">
        <x:v>3954.79</x:v>
      </x:c>
      <x:c r="H249" s="24" t="n">
        <x:v>-32.1</x:v>
      </x:c>
      <x:c r="I249" s="25" t="n">
        <x:v>-0.008054125246651389</x:v>
      </x:c>
      <x:c r="J249" s="24" t="n">
        <x:f>ROUND(E249-F249,1)</x:f>
        <x:v>35</x:v>
      </x:c>
      <x:c r="K249" s="23" t="str">
        <x:v>上证指数</x:v>
      </x:c>
    </x:row>
    <x:row r="250">
      <x:c r="A250" s="38" t="str">
        <x:v>合计</x:v>
      </x:c>
      <x:c r="B250" s="37" t="n">
        <x:v>17</x:v>
      </x:c>
      <x:c r="C250" s="37"/>
      <x:c r="D250" s="37"/>
      <x:c r="E250" s="37"/>
      <x:c r="F250" s="37"/>
      <x:c r="G250" s="37"/>
      <x:c r="H250" s="37"/>
      <x:c r="I250" s="37"/>
      <x:c r="J250" s="39" t="n">
        <x:f>ROUND(SUM(J233:J249),1)</x:f>
        <x:v>781.9</x:v>
      </x:c>
      <x:c r="K250" s="37"/>
    </x:row>
    <x:row r="251">
      <x:c r="A251" s="38" t="str">
        <x:v>均值</x:v>
      </x:c>
      <x:c r="B251" s="37"/>
      <x:c r="C251" s="37"/>
      <x:c r="D251" s="37"/>
      <x:c r="E251" s="37"/>
      <x:c r="F251" s="37"/>
      <x:c r="G251" s="37"/>
      <x:c r="H251" s="37"/>
      <x:c r="I251" s="37"/>
      <x:c r="J251" s="41" t="n">
        <x:f>ROUND(IFERROR(AVERAGE(J233:J249),0),1)</x:f>
        <x:v>46</x:v>
      </x:c>
      <x:c r="K251" s="37"/>
    </x:row>
    <x:row r="253">
      <x:c r="A253" s="17" t="str">
        <x:v>11月</x:v>
      </x:c>
      <x:c r="B253" s="17"/>
      <x:c r="C253" s="17"/>
      <x:c r="D253" s="17"/>
      <x:c r="E253" s="17"/>
      <x:c r="F253" s="17"/>
      <x:c r="G253" s="17"/>
      <x:c r="H253" s="17"/>
      <x:c r="I253" s="17"/>
      <x:c r="J253" s="17"/>
      <x:c r="K253" s="17"/>
    </x:row>
    <x:row r="254">
      <x:c r="A254" s="20" t="str">
        <x:v>序号</x:v>
      </x:c>
      <x:c r="B254" s="20" t="str">
        <x:v>星期</x:v>
      </x:c>
      <x:c r="C254" s="20" t="str">
        <x:v>日期</x:v>
      </x:c>
      <x:c r="D254" s="20" t="str">
        <x:v>开盘</x:v>
      </x:c>
      <x:c r="E254" s="20" t="str">
        <x:v>高点</x:v>
      </x:c>
      <x:c r="F254" s="20" t="str">
        <x:v>低点</x:v>
      </x:c>
      <x:c r="G254" s="20" t="str">
        <x:v>收盘</x:v>
      </x:c>
      <x:c r="H254" s="20" t="str">
        <x:v>涨跌点数</x:v>
      </x:c>
      <x:c r="I254" s="20" t="str">
        <x:v>涨幅</x:v>
      </x:c>
      <x:c r="J254" s="20" t="str">
        <x:v>振幅</x:v>
      </x:c>
      <x:c r="K254" s="20" t="str">
        <x:v>标的</x:v>
      </x:c>
    </x:row>
    <x:row r="255">
      <x:c r="A255" s="23" t="n">
        <x:v>1</x:v>
      </x:c>
      <x:c r="B255" s="23" t="str">
        <x:v>周一</x:v>
      </x:c>
      <x:c r="C255" s="23" t="str">
        <x:v>11月3日</x:v>
      </x:c>
      <x:c r="D255" s="24" t="n">
        <x:v>3954.078</x:v>
      </x:c>
      <x:c r="E255" s="24" t="n">
        <x:v>3977.305</x:v>
      </x:c>
      <x:c r="F255" s="24" t="n">
        <x:v>3937.022</x:v>
      </x:c>
      <x:c r="G255" s="24" t="n">
        <x:v>3976.521</x:v>
      </x:c>
      <x:c r="H255" s="24" t="n">
        <x:v>21.7</x:v>
      </x:c>
      <x:c r="I255" s="25" t="n">
        <x:v>0.005494855605481019</x:v>
      </x:c>
      <x:c r="J255" s="24" t="n">
        <x:f>ROUND(E255-F255,1)</x:f>
        <x:v>40.3</x:v>
      </x:c>
      <x:c r="K255" s="23" t="str">
        <x:v>上证指数</x:v>
      </x:c>
    </x:row>
    <x:row r="256">
      <x:c r="A256" s="23" t="n">
        <x:v>2</x:v>
      </x:c>
      <x:c r="B256" s="23" t="str">
        <x:v>周二</x:v>
      </x:c>
      <x:c r="C256" s="23" t="str">
        <x:v>11月4日</x:v>
      </x:c>
      <x:c r="D256" s="24" t="n">
        <x:v>3973.458</x:v>
      </x:c>
      <x:c r="E256" s="24" t="n">
        <x:v>3985.882</x:v>
      </x:c>
      <x:c r="F256" s="24" t="n">
        <x:v>3938.52</x:v>
      </x:c>
      <x:c r="G256" s="24" t="n">
        <x:v>3960.186</x:v>
      </x:c>
      <x:c r="H256" s="24" t="n">
        <x:v>-16.3</x:v>
      </x:c>
      <x:c r="I256" s="25" t="n">
        <x:v>-0.004107862123700623</x:v>
      </x:c>
      <x:c r="J256" s="24" t="n">
        <x:f>ROUND(E256-F256,1)</x:f>
        <x:v>47.4</x:v>
      </x:c>
      <x:c r="K256" s="23" t="str">
        <x:v>上证指数</x:v>
      </x:c>
    </x:row>
    <x:row r="257">
      <x:c r="A257" s="23" t="n">
        <x:v>3</x:v>
      </x:c>
      <x:c r="B257" s="23" t="str">
        <x:v>周三</x:v>
      </x:c>
      <x:c r="C257" s="23" t="str">
        <x:v>11月5日</x:v>
      </x:c>
      <x:c r="D257" s="24" t="n">
        <x:v>3922.584</x:v>
      </x:c>
      <x:c r="E257" s="24" t="n">
        <x:v>3979.754</x:v>
      </x:c>
      <x:c r="F257" s="24" t="n">
        <x:v>3922.584</x:v>
      </x:c>
      <x:c r="G257" s="24" t="n">
        <x:v>3969.248</x:v>
      </x:c>
      <x:c r="H257" s="24" t="n">
        <x:v>9.1</x:v>
      </x:c>
      <x:c r="I257" s="25" t="n">
        <x:v>0.0022882763587366295</x:v>
      </x:c>
      <x:c r="J257" s="29" t="n">
        <x:f>ROUND(E257-F257,1)</x:f>
        <x:v>57.2</x:v>
      </x:c>
      <x:c r="K257" s="23" t="str">
        <x:v>上证指数</x:v>
      </x:c>
    </x:row>
    <x:row r="258">
      <x:c r="A258" s="23" t="n">
        <x:v>4</x:v>
      </x:c>
      <x:c r="B258" s="23" t="str">
        <x:v>周四</x:v>
      </x:c>
      <x:c r="C258" s="23" t="str">
        <x:v>11月6日</x:v>
      </x:c>
      <x:c r="D258" s="24" t="n">
        <x:v>3973.349</x:v>
      </x:c>
      <x:c r="E258" s="24" t="n">
        <x:v>4008.799</x:v>
      </x:c>
      <x:c r="F258" s="24" t="n">
        <x:v>3973.349</x:v>
      </x:c>
      <x:c r="G258" s="24" t="n">
        <x:v>4007.76</x:v>
      </x:c>
      <x:c r="H258" s="24" t="n">
        <x:v>38.5</x:v>
      </x:c>
      <x:c r="I258" s="25" t="n">
        <x:v>0.009702593539128834</x:v>
      </x:c>
      <x:c r="J258" s="24" t="n">
        <x:f>ROUND(E258-F258,1)</x:f>
        <x:v>35.4</x:v>
      </x:c>
      <x:c r="K258" s="23" t="str">
        <x:v>上证指数</x:v>
      </x:c>
    </x:row>
    <x:row r="259">
      <x:c r="A259" s="23" t="n">
        <x:v>5</x:v>
      </x:c>
      <x:c r="B259" s="23" t="str">
        <x:v>周五</x:v>
      </x:c>
      <x:c r="C259" s="23" t="str">
        <x:v>11月7日</x:v>
      </x:c>
      <x:c r="D259" s="24" t="n">
        <x:v>3994.317</x:v>
      </x:c>
      <x:c r="E259" s="24" t="n">
        <x:v>4012.005</x:v>
      </x:c>
      <x:c r="F259" s="24" t="n">
        <x:v>3993.691</x:v>
      </x:c>
      <x:c r="G259" s="24" t="n">
        <x:v>3997.556</x:v>
      </x:c>
      <x:c r="H259" s="24" t="n">
        <x:v>-10.2</x:v>
      </x:c>
      <x:c r="I259" s="25" t="n">
        <x:v>-0.0025460606423538534</x:v>
      </x:c>
      <x:c r="J259" s="24" t="n">
        <x:f>ROUND(E259-F259,1)</x:f>
        <x:v>18.3</x:v>
      </x:c>
      <x:c r="K259" s="23" t="str">
        <x:v>上证指数</x:v>
      </x:c>
    </x:row>
    <x:row r="260">
      <x:c r="A260" s="23" t="n">
        <x:v>6</x:v>
      </x:c>
      <x:c r="B260" s="23" t="str">
        <x:v>周一</x:v>
      </x:c>
      <x:c r="C260" s="23" t="str">
        <x:v>11月10日</x:v>
      </x:c>
      <x:c r="D260" s="24" t="n">
        <x:v>4001.794</x:v>
      </x:c>
      <x:c r="E260" s="24" t="n">
        <x:v>4018.696</x:v>
      </x:c>
      <x:c r="F260" s="24" t="n">
        <x:v>3990.836</x:v>
      </x:c>
      <x:c r="G260" s="24" t="n">
        <x:v>4018.597</x:v>
      </x:c>
      <x:c r="H260" s="24" t="n">
        <x:v>21</x:v>
      </x:c>
      <x:c r="I260" s="25" t="n">
        <x:v>0.005263465977712434</x:v>
      </x:c>
      <x:c r="J260" s="24" t="n">
        <x:f>ROUND(E260-F260,1)</x:f>
        <x:v>27.9</x:v>
      </x:c>
      <x:c r="K260" s="23" t="str">
        <x:v>上证指数</x:v>
      </x:c>
    </x:row>
    <x:row r="261">
      <x:c r="A261" s="23" t="n">
        <x:v>7</x:v>
      </x:c>
      <x:c r="B261" s="23" t="str">
        <x:v>周二</x:v>
      </x:c>
      <x:c r="C261" s="23" t="str">
        <x:v>11月11日</x:v>
      </x:c>
      <x:c r="D261" s="24" t="n">
        <x:v>4023.877</x:v>
      </x:c>
      <x:c r="E261" s="24" t="n">
        <x:v>4024.939</x:v>
      </x:c>
      <x:c r="F261" s="24" t="n">
        <x:v>3991.516</x:v>
      </x:c>
      <x:c r="G261" s="24" t="n">
        <x:v>4002.758</x:v>
      </x:c>
      <x:c r="H261" s="24" t="n">
        <x:v>-15.8</x:v>
      </x:c>
      <x:c r="I261" s="25" t="n">
        <x:v>-0.003941425328292558</x:v>
      </x:c>
      <x:c r="J261" s="24" t="n">
        <x:f>ROUND(E261-F261,1)</x:f>
        <x:v>33.4</x:v>
      </x:c>
      <x:c r="K261" s="23" t="str">
        <x:v>上证指数</x:v>
      </x:c>
    </x:row>
    <x:row r="262">
      <x:c r="A262" s="23" t="n">
        <x:v>8</x:v>
      </x:c>
      <x:c r="B262" s="23" t="str">
        <x:v>周三</x:v>
      </x:c>
      <x:c r="C262" s="23" t="str">
        <x:v>11月12日</x:v>
      </x:c>
      <x:c r="D262" s="24" t="n">
        <x:v>3996.565</x:v>
      </x:c>
      <x:c r="E262" s="24" t="n">
        <x:v>4020.378</x:v>
      </x:c>
      <x:c r="F262" s="24" t="n">
        <x:v>3980.676</x:v>
      </x:c>
      <x:c r="G262" s="24" t="n">
        <x:v>4000.14</x:v>
      </x:c>
      <x:c r="H262" s="24" t="n">
        <x:v>-2.6</x:v>
      </x:c>
      <x:c r="I262" s="25" t="n">
        <x:v>-0.0006540490331915505</x:v>
      </x:c>
      <x:c r="J262" s="24" t="n">
        <x:f>ROUND(E262-F262,1)</x:f>
        <x:v>39.7</x:v>
      </x:c>
      <x:c r="K262" s="23" t="str">
        <x:v>上证指数</x:v>
      </x:c>
    </x:row>
    <x:row r="263">
      <x:c r="A263" s="23" t="n">
        <x:v>9</x:v>
      </x:c>
      <x:c r="B263" s="23" t="str">
        <x:v>周四</x:v>
      </x:c>
      <x:c r="C263" s="23" t="str">
        <x:v>11月13日</x:v>
      </x:c>
      <x:c r="D263" s="24" t="n">
        <x:v>3996.514</x:v>
      </x:c>
      <x:c r="E263" s="24" t="n">
        <x:v>4030.398</x:v>
      </x:c>
      <x:c r="F263" s="24" t="n">
        <x:v>3994.771</x:v>
      </x:c>
      <x:c r="G263" s="24" t="n">
        <x:v>4029.501</x:v>
      </x:c>
      <x:c r="H263" s="24" t="n">
        <x:v>29.4</x:v>
      </x:c>
      <x:c r="I263" s="25" t="n">
        <x:v>0.007339993100241582</x:v>
      </x:c>
      <x:c r="J263" s="24" t="n">
        <x:f>ROUND(E263-F263,1)</x:f>
        <x:v>35.6</x:v>
      </x:c>
      <x:c r="K263" s="23" t="str">
        <x:v>上证指数</x:v>
      </x:c>
    </x:row>
    <x:row r="264">
      <x:c r="A264" s="23" t="n">
        <x:v>10</x:v>
      </x:c>
      <x:c r="B264" s="23" t="str">
        <x:v>周五</x:v>
      </x:c>
      <x:c r="C264" s="23" t="str">
        <x:v>11月14日</x:v>
      </x:c>
      <x:c r="D264" s="24" t="n">
        <x:v>4007.126</x:v>
      </x:c>
      <x:c r="E264" s="24" t="n">
        <x:v>4034.079</x:v>
      </x:c>
      <x:c r="F264" s="24" t="n">
        <x:v>3990.307</x:v>
      </x:c>
      <x:c r="G264" s="24" t="n">
        <x:v>3990.492</x:v>
      </x:c>
      <x:c r="H264" s="24" t="n">
        <x:v>-39</x:v>
      </x:c>
      <x:c r="I264" s="25" t="n">
        <x:v>-0.00968085130143903</x:v>
      </x:c>
      <x:c r="J264" s="24" t="n">
        <x:f>ROUND(E264-F264,1)</x:f>
        <x:v>43.8</x:v>
      </x:c>
      <x:c r="K264" s="23" t="str">
        <x:v>上证指数</x:v>
      </x:c>
    </x:row>
    <x:row r="265">
      <x:c r="A265" s="23" t="n">
        <x:v>11</x:v>
      </x:c>
      <x:c r="B265" s="23" t="str">
        <x:v>周一</x:v>
      </x:c>
      <x:c r="C265" s="23" t="str">
        <x:v>11月17日</x:v>
      </x:c>
      <x:c r="D265" s="24" t="n">
        <x:v>3988.556</x:v>
      </x:c>
      <x:c r="E265" s="24" t="n">
        <x:v>3992.404</x:v>
      </x:c>
      <x:c r="F265" s="24" t="n">
        <x:v>3958.948</x:v>
      </x:c>
      <x:c r="G265" s="24" t="n">
        <x:v>3972.035</x:v>
      </x:c>
      <x:c r="H265" s="24" t="n">
        <x:v>-18.5</x:v>
      </x:c>
      <x:c r="I265" s="25" t="n">
        <x:v>-0.0046252442054764975</x:v>
      </x:c>
      <x:c r="J265" s="24" t="n">
        <x:f>ROUND(E265-F265,1)</x:f>
        <x:v>33.5</x:v>
      </x:c>
      <x:c r="K265" s="23" t="str">
        <x:v>上证指数</x:v>
      </x:c>
    </x:row>
    <x:row r="266">
      <x:c r="A266" s="23" t="n">
        <x:v>12</x:v>
      </x:c>
      <x:c r="B266" s="23" t="str">
        <x:v>周二</x:v>
      </x:c>
      <x:c r="C266" s="23" t="str">
        <x:v>11月18日</x:v>
      </x:c>
      <x:c r="D266" s="24" t="n">
        <x:v>3962.444</x:v>
      </x:c>
      <x:c r="E266" s="24" t="n">
        <x:v>3966.885</x:v>
      </x:c>
      <x:c r="F266" s="24" t="n">
        <x:v>3926.589</x:v>
      </x:c>
      <x:c r="G266" s="24" t="n">
        <x:v>3939.813</x:v>
      </x:c>
      <x:c r="H266" s="24" t="n">
        <x:v>-32.2</x:v>
      </x:c>
      <x:c r="I266" s="25" t="n">
        <x:v>-0.008112214519761185</x:v>
      </x:c>
      <x:c r="J266" s="24" t="n">
        <x:f>ROUND(E266-F266,1)</x:f>
        <x:v>40.3</x:v>
      </x:c>
      <x:c r="K266" s="23" t="str">
        <x:v>上证指数</x:v>
      </x:c>
    </x:row>
    <x:row r="267">
      <x:c r="A267" s="23" t="n">
        <x:v>13</x:v>
      </x:c>
      <x:c r="B267" s="23" t="str">
        <x:v>周三</x:v>
      </x:c>
      <x:c r="C267" s="23" t="str">
        <x:v>11月19日</x:v>
      </x:c>
      <x:c r="D267" s="24" t="n">
        <x:v>3937.92</x:v>
      </x:c>
      <x:c r="E267" s="24" t="n">
        <x:v>3960.052</x:v>
      </x:c>
      <x:c r="F267" s="24" t="n">
        <x:v>3930.075</x:v>
      </x:c>
      <x:c r="G267" s="24" t="n">
        <x:v>3946.742</x:v>
      </x:c>
      <x:c r="H267" s="24" t="n">
        <x:v>6.9</x:v>
      </x:c>
      <x:c r="I267" s="25" t="n">
        <x:v>0.0017587129135316903</x:v>
      </x:c>
      <x:c r="J267" s="24" t="n">
        <x:f>ROUND(E267-F267,1)</x:f>
        <x:v>30</x:v>
      </x:c>
      <x:c r="K267" s="23" t="str">
        <x:v>上证指数</x:v>
      </x:c>
    </x:row>
    <x:row r="268">
      <x:c r="A268" s="23" t="n">
        <x:v>14</x:v>
      </x:c>
      <x:c r="B268" s="23" t="str">
        <x:v>周四</x:v>
      </x:c>
      <x:c r="C268" s="23" t="str">
        <x:v>11月20日</x:v>
      </x:c>
      <x:c r="D268" s="24" t="n">
        <x:v>3960.699</x:v>
      </x:c>
      <x:c r="E268" s="24" t="n">
        <x:v>3967.971</x:v>
      </x:c>
      <x:c r="F268" s="24" t="n">
        <x:v>3927.512</x:v>
      </x:c>
      <x:c r="G268" s="24" t="n">
        <x:v>3931.051</x:v>
      </x:c>
      <x:c r="H268" s="24" t="n">
        <x:v>-15.7</x:v>
      </x:c>
      <x:c r="I268" s="25" t="n">
        <x:v>-0.0039756842479189425</x:v>
      </x:c>
      <x:c r="J268" s="24" t="n">
        <x:f>ROUND(E268-F268,1)</x:f>
        <x:v>40.5</x:v>
      </x:c>
      <x:c r="K268" s="23" t="str">
        <x:v>上证指数</x:v>
      </x:c>
    </x:row>
    <x:row r="269">
      <x:c r="A269" s="33" t="n">
        <x:v>15</x:v>
      </x:c>
      <x:c r="B269" s="33" t="str">
        <x:v>周五</x:v>
      </x:c>
      <x:c r="C269" s="33" t="str">
        <x:v>11月21日</x:v>
      </x:c>
      <x:c r="D269" s="34" t="n">
        <x:v>3896.665</x:v>
      </x:c>
      <x:c r="E269" s="34" t="n">
        <x:v>3912.006</x:v>
      </x:c>
      <x:c r="F269" s="34" t="n">
        <x:v>3834.749</x:v>
      </x:c>
      <x:c r="G269" s="34" t="n">
        <x:v>3834.891</x:v>
      </x:c>
      <x:c r="H269" s="34" t="n">
        <x:v>-96.2</x:v>
      </x:c>
      <x:c r="I269" s="35" t="n">
        <x:v>-0.024461651604112955</x:v>
      </x:c>
      <x:c r="J269" s="29" t="n">
        <x:f>ROUND(E269-F269,1)</x:f>
        <x:v>77.3</x:v>
      </x:c>
      <x:c r="K269" s="33" t="str">
        <x:v>上证指数</x:v>
      </x:c>
    </x:row>
    <x:row r="270">
      <x:c r="A270" s="23" t="n">
        <x:v>16</x:v>
      </x:c>
      <x:c r="B270" s="23" t="str">
        <x:v>周一</x:v>
      </x:c>
      <x:c r="C270" s="23" t="str">
        <x:v>11月24日</x:v>
      </x:c>
      <x:c r="D270" s="24" t="n">
        <x:v>3848.657</x:v>
      </x:c>
      <x:c r="E270" s="24" t="n">
        <x:v>3854.331</x:v>
      </x:c>
      <x:c r="F270" s="24" t="n">
        <x:v>3816.576</x:v>
      </x:c>
      <x:c r="G270" s="24" t="n">
        <x:v>3836.766</x:v>
      </x:c>
      <x:c r="H270" s="24" t="n">
        <x:v>1.9</x:v>
      </x:c>
      <x:c r="I270" s="25" t="n">
        <x:v>0.0004889317584255704</x:v>
      </x:c>
      <x:c r="J270" s="24" t="n">
        <x:f>ROUND(E270-F270,1)</x:f>
        <x:v>37.8</x:v>
      </x:c>
      <x:c r="K270" s="23" t="str">
        <x:v>上证指数</x:v>
      </x:c>
    </x:row>
    <x:row r="271">
      <x:c r="A271" s="23" t="n">
        <x:v>17</x:v>
      </x:c>
      <x:c r="B271" s="23" t="str">
        <x:v>周二</x:v>
      </x:c>
      <x:c r="C271" s="23" t="str">
        <x:v>11月25日</x:v>
      </x:c>
      <x:c r="D271" s="24" t="n">
        <x:v>3850.571</x:v>
      </x:c>
      <x:c r="E271" s="24" t="n">
        <x:v>3882.03</x:v>
      </x:c>
      <x:c r="F271" s="24" t="n">
        <x:v>3845.138</x:v>
      </x:c>
      <x:c r="G271" s="24" t="n">
        <x:v>3870.023</x:v>
      </x:c>
      <x:c r="H271" s="24" t="n">
        <x:v>33.3</x:v>
      </x:c>
      <x:c r="I271" s="25" t="n">
        <x:v>0.008667977145335515</x:v>
      </x:c>
      <x:c r="J271" s="24" t="n">
        <x:f>ROUND(E271-F271,1)</x:f>
        <x:v>36.9</x:v>
      </x:c>
      <x:c r="K271" s="23" t="str">
        <x:v>上证指数</x:v>
      </x:c>
    </x:row>
    <x:row r="272">
      <x:c r="A272" s="23" t="n">
        <x:v>18</x:v>
      </x:c>
      <x:c r="B272" s="23" t="str">
        <x:v>周三</x:v>
      </x:c>
      <x:c r="C272" s="23" t="str">
        <x:v>11月26日</x:v>
      </x:c>
      <x:c r="D272" s="24" t="n">
        <x:v>3867.429</x:v>
      </x:c>
      <x:c r="E272" s="24" t="n">
        <x:v>3879.923</x:v>
      </x:c>
      <x:c r="F272" s="24" t="n">
        <x:v>3861.177</x:v>
      </x:c>
      <x:c r="G272" s="24" t="n">
        <x:v>3864.184</x:v>
      </x:c>
      <x:c r="H272" s="24" t="n">
        <x:v>-5.8</x:v>
      </x:c>
      <x:c r="I272" s="25" t="n">
        <x:v>-0.0015087765628266636</x:v>
      </x:c>
      <x:c r="J272" s="24" t="n">
        <x:f>ROUND(E272-F272,1)</x:f>
        <x:v>18.7</x:v>
      </x:c>
      <x:c r="K272" s="23" t="str">
        <x:v>上证指数</x:v>
      </x:c>
    </x:row>
    <x:row r="273">
      <x:c r="A273" s="23" t="n">
        <x:v>19</x:v>
      </x:c>
      <x:c r="B273" s="23" t="str">
        <x:v>周四</x:v>
      </x:c>
      <x:c r="C273" s="23" t="str">
        <x:v>11月27日</x:v>
      </x:c>
      <x:c r="D273" s="24" t="n">
        <x:v>3867.197</x:v>
      </x:c>
      <x:c r="E273" s="24" t="n">
        <x:v>3895.589</x:v>
      </x:c>
      <x:c r="F273" s="24" t="n">
        <x:v>3864.131</x:v>
      </x:c>
      <x:c r="G273" s="24" t="n">
        <x:v>3875.259</x:v>
      </x:c>
      <x:c r="H273" s="24" t="n">
        <x:v>11.1</x:v>
      </x:c>
      <x:c r="I273" s="25" t="n">
        <x:v>0.002866064348902686</x:v>
      </x:c>
      <x:c r="J273" s="24" t="n">
        <x:f>ROUND(E273-F273,1)</x:f>
        <x:v>31.5</x:v>
      </x:c>
      <x:c r="K273" s="23" t="str">
        <x:v>上证指数</x:v>
      </x:c>
    </x:row>
    <x:row r="274">
      <x:c r="A274" s="23" t="n">
        <x:v>20</x:v>
      </x:c>
      <x:c r="B274" s="23" t="str">
        <x:v>周五</x:v>
      </x:c>
      <x:c r="C274" s="23" t="str">
        <x:v>11月28日</x:v>
      </x:c>
      <x:c r="D274" s="24" t="n">
        <x:v>3870.944</x:v>
      </x:c>
      <x:c r="E274" s="24" t="n">
        <x:v>3888.889</x:v>
      </x:c>
      <x:c r="F274" s="24" t="n">
        <x:v>3856.25</x:v>
      </x:c>
      <x:c r="G274" s="24" t="n">
        <x:v>3888.596</x:v>
      </x:c>
      <x:c r="H274" s="24" t="n">
        <x:v>13.3</x:v>
      </x:c>
      <x:c r="I274" s="25" t="n">
        <x:v>0.003441576421085557</x:v>
      </x:c>
      <x:c r="J274" s="24" t="n">
        <x:f>ROUND(E274-F274,1)</x:f>
        <x:v>32.6</x:v>
      </x:c>
      <x:c r="K274" s="23" t="str">
        <x:v>上证指数</x:v>
      </x:c>
    </x:row>
    <x:row r="275">
      <x:c r="A275" s="38" t="str">
        <x:v>合计</x:v>
      </x:c>
      <x:c r="B275" s="37" t="n">
        <x:v>20</x:v>
      </x:c>
      <x:c r="C275" s="37"/>
      <x:c r="D275" s="37"/>
      <x:c r="E275" s="37"/>
      <x:c r="F275" s="37"/>
      <x:c r="G275" s="37"/>
      <x:c r="H275" s="37"/>
      <x:c r="I275" s="37"/>
      <x:c r="J275" s="39" t="n">
        <x:f>ROUND(SUM(J255:J274),1)</x:f>
        <x:v>758.1</x:v>
      </x:c>
      <x:c r="K275" s="37"/>
    </x:row>
    <x:row r="276">
      <x:c r="A276" s="38" t="str">
        <x:v>均值</x:v>
      </x:c>
      <x:c r="B276" s="37"/>
      <x:c r="C276" s="37"/>
      <x:c r="D276" s="37"/>
      <x:c r="E276" s="37"/>
      <x:c r="F276" s="37"/>
      <x:c r="G276" s="37"/>
      <x:c r="H276" s="37"/>
      <x:c r="I276" s="37"/>
      <x:c r="J276" s="41" t="n">
        <x:f>ROUND(IFERROR(AVERAGE(J255:J274),0),1)</x:f>
        <x:v>37.9</x:v>
      </x:c>
      <x:c r="K276" s="37"/>
    </x:row>
    <x:row r="278">
      <x:c r="A278" s="17" t="str">
        <x:v>12月</x:v>
      </x:c>
      <x:c r="B278" s="17"/>
      <x:c r="C278" s="17"/>
      <x:c r="D278" s="17"/>
      <x:c r="E278" s="17"/>
      <x:c r="F278" s="17"/>
      <x:c r="G278" s="17"/>
      <x:c r="H278" s="17"/>
      <x:c r="I278" s="17"/>
      <x:c r="J278" s="17"/>
      <x:c r="K278" s="17"/>
    </x:row>
    <x:row r="279">
      <x:c r="A279" s="20" t="str">
        <x:v>序号</x:v>
      </x:c>
      <x:c r="B279" s="20" t="str">
        <x:v>星期</x:v>
      </x:c>
      <x:c r="C279" s="20" t="str">
        <x:v>日期</x:v>
      </x:c>
      <x:c r="D279" s="20" t="str">
        <x:v>开盘</x:v>
      </x:c>
      <x:c r="E279" s="20" t="str">
        <x:v>高点</x:v>
      </x:c>
      <x:c r="F279" s="20" t="str">
        <x:v>低点</x:v>
      </x:c>
      <x:c r="G279" s="20" t="str">
        <x:v>收盘</x:v>
      </x:c>
      <x:c r="H279" s="20" t="str">
        <x:v>涨跌点数</x:v>
      </x:c>
      <x:c r="I279" s="20" t="str">
        <x:v>涨幅</x:v>
      </x:c>
      <x:c r="J279" s="20" t="str">
        <x:v>振幅</x:v>
      </x:c>
      <x:c r="K279" s="20" t="str">
        <x:v>标的</x:v>
      </x:c>
    </x:row>
    <x:row r="280">
      <x:c r="A280" s="23" t="n">
        <x:v>1</x:v>
      </x:c>
      <x:c r="B280" s="23" t="str">
        <x:v>周一</x:v>
      </x:c>
      <x:c r="C280" s="23" t="str">
        <x:v>12月1日</x:v>
      </x:c>
      <x:c r="D280" s="24" t="n">
        <x:v>3894.213</x:v>
      </x:c>
      <x:c r="E280" s="24" t="n">
        <x:v>3914.464</x:v>
      </x:c>
      <x:c r="F280" s="24" t="n">
        <x:v>3890.949</x:v>
      </x:c>
      <x:c r="G280" s="24" t="n">
        <x:v>3914.006</x:v>
      </x:c>
      <x:c r="H280" s="24" t="n">
        <x:v>25.4</x:v>
      </x:c>
      <x:c r="I280" s="25" t="n">
        <x:v>0.006534492140608084</x:v>
      </x:c>
      <x:c r="J280" s="24" t="n">
        <x:f>ROUND(E280-F280,1)</x:f>
        <x:v>23.5</x:v>
      </x:c>
      <x:c r="K280" s="23" t="str">
        <x:v>上证指数</x:v>
      </x:c>
    </x:row>
    <x:row r="281">
      <x:c r="A281" s="23" t="n">
        <x:v>2</x:v>
      </x:c>
      <x:c r="B281" s="23" t="str">
        <x:v>周二</x:v>
      </x:c>
      <x:c r="C281" s="23" t="str">
        <x:v>12月2日</x:v>
      </x:c>
      <x:c r="D281" s="24" t="n">
        <x:v>3908.456</x:v>
      </x:c>
      <x:c r="E281" s="24" t="n">
        <x:v>3908.769</x:v>
      </x:c>
      <x:c r="F281" s="24" t="n">
        <x:v>3888.328</x:v>
      </x:c>
      <x:c r="G281" s="24" t="n">
        <x:v>3897.712</x:v>
      </x:c>
      <x:c r="H281" s="24" t="n">
        <x:v>-16.3</x:v>
      </x:c>
      <x:c r="I281" s="25" t="n">
        <x:v>-0.004162998217171809</x:v>
      </x:c>
      <x:c r="J281" s="24" t="n">
        <x:f>ROUND(E281-F281,1)</x:f>
        <x:v>20.4</x:v>
      </x:c>
      <x:c r="K281" s="23" t="str">
        <x:v>上证指数</x:v>
      </x:c>
    </x:row>
    <x:row r="282">
      <x:c r="A282" s="23" t="n">
        <x:v>3</x:v>
      </x:c>
      <x:c r="B282" s="23" t="str">
        <x:v>周三</x:v>
      </x:c>
      <x:c r="C282" s="23" t="str">
        <x:v>12月3日</x:v>
      </x:c>
      <x:c r="D282" s="24" t="n">
        <x:v>3894.156</x:v>
      </x:c>
      <x:c r="E282" s="24" t="n">
        <x:v>3901.696</x:v>
      </x:c>
      <x:c r="F282" s="24" t="n">
        <x:v>3869.953</x:v>
      </x:c>
      <x:c r="G282" s="24" t="n">
        <x:v>3878</x:v>
      </x:c>
      <x:c r="H282" s="24" t="n">
        <x:v>-19.7</x:v>
      </x:c>
      <x:c r="I282" s="25" t="n">
        <x:v>-0.00505732593890984</x:v>
      </x:c>
      <x:c r="J282" s="24" t="n">
        <x:f>ROUND(E282-F282,1)</x:f>
        <x:v>31.7</x:v>
      </x:c>
      <x:c r="K282" s="23" t="str">
        <x:v>上证指数</x:v>
      </x:c>
    </x:row>
    <x:row r="283">
      <x:c r="A283" s="23" t="n">
        <x:v>4</x:v>
      </x:c>
      <x:c r="B283" s="23" t="str">
        <x:v>周四</x:v>
      </x:c>
      <x:c r="C283" s="23" t="str">
        <x:v>12月4日</x:v>
      </x:c>
      <x:c r="D283" s="24" t="n">
        <x:v>3879.742</x:v>
      </x:c>
      <x:c r="E283" s="24" t="n">
        <x:v>3888.86</x:v>
      </x:c>
      <x:c r="F283" s="24" t="n">
        <x:v>3859.049</x:v>
      </x:c>
      <x:c r="G283" s="24" t="n">
        <x:v>3875.793</x:v>
      </x:c>
      <x:c r="H283" s="24" t="n">
        <x:v>-2.2</x:v>
      </x:c>
      <x:c r="I283" s="25" t="n">
        <x:v>-0.0005691077875192851</x:v>
      </x:c>
      <x:c r="J283" s="24" t="n">
        <x:f>ROUND(E283-F283,1)</x:f>
        <x:v>29.8</x:v>
      </x:c>
      <x:c r="K283" s="23" t="str">
        <x:v>上证指数</x:v>
      </x:c>
    </x:row>
    <x:row r="284">
      <x:c r="A284" s="23" t="n">
        <x:v>5</x:v>
      </x:c>
      <x:c r="B284" s="23" t="str">
        <x:v>周五</x:v>
      </x:c>
      <x:c r="C284" s="23" t="str">
        <x:v>12月5日</x:v>
      </x:c>
      <x:c r="D284" s="24" t="n">
        <x:v>3873.121</x:v>
      </x:c>
      <x:c r="E284" s="24" t="n">
        <x:v>3907.782</x:v>
      </x:c>
      <x:c r="F284" s="24" t="n">
        <x:v>3863.314</x:v>
      </x:c>
      <x:c r="G284" s="24" t="n">
        <x:v>3902.808</x:v>
      </x:c>
      <x:c r="H284" s="24" t="n">
        <x:v>27</x:v>
      </x:c>
      <x:c r="I284" s="25" t="n">
        <x:v>0.006970186488287622</x:v>
      </x:c>
      <x:c r="J284" s="24" t="n">
        <x:f>ROUND(E284-F284,1)</x:f>
        <x:v>44.5</x:v>
      </x:c>
      <x:c r="K284" s="23" t="str">
        <x:v>上证指数</x:v>
      </x:c>
    </x:row>
    <x:row r="285">
      <x:c r="A285" s="23" t="n">
        <x:v>6</x:v>
      </x:c>
      <x:c r="B285" s="23" t="str">
        <x:v>周一</x:v>
      </x:c>
      <x:c r="C285" s="23" t="str">
        <x:v>12月8日</x:v>
      </x:c>
      <x:c r="D285" s="24" t="n">
        <x:v>3909.226</x:v>
      </x:c>
      <x:c r="E285" s="24" t="n">
        <x:v>3936.311</x:v>
      </x:c>
      <x:c r="F285" s="24" t="n">
        <x:v>3904.738</x:v>
      </x:c>
      <x:c r="G285" s="24" t="n">
        <x:v>3924.078</x:v>
      </x:c>
      <x:c r="H285" s="24" t="n">
        <x:v>21.3</x:v>
      </x:c>
      <x:c r="I285" s="25" t="n">
        <x:v>0.005449922209854963</x:v>
      </x:c>
      <x:c r="J285" s="24" t="n">
        <x:f>ROUND(E285-F285,1)</x:f>
        <x:v>31.6</x:v>
      </x:c>
      <x:c r="K285" s="23" t="str">
        <x:v>上证指数</x:v>
      </x:c>
    </x:row>
    <x:row r="286">
      <x:c r="A286" s="23" t="n">
        <x:v>7</x:v>
      </x:c>
      <x:c r="B286" s="23" t="str">
        <x:v>周二</x:v>
      </x:c>
      <x:c r="C286" s="23" t="str">
        <x:v>12月9日</x:v>
      </x:c>
      <x:c r="D286" s="24" t="n">
        <x:v>3916.509</x:v>
      </x:c>
      <x:c r="E286" s="24" t="n">
        <x:v>3923.899</x:v>
      </x:c>
      <x:c r="F286" s="24" t="n">
        <x:v>3902.128</x:v>
      </x:c>
      <x:c r="G286" s="24" t="n">
        <x:v>3909.522</x:v>
      </x:c>
      <x:c r="H286" s="24" t="n">
        <x:v>-14.6</x:v>
      </x:c>
      <x:c r="I286" s="25" t="n">
        <x:v>-0.003709406387946479</x:v>
      </x:c>
      <x:c r="J286" s="24" t="n">
        <x:f>ROUND(E286-F286,1)</x:f>
        <x:v>21.8</x:v>
      </x:c>
      <x:c r="K286" s="23" t="str">
        <x:v>上证指数</x:v>
      </x:c>
    </x:row>
    <x:row r="287">
      <x:c r="A287" s="23" t="n">
        <x:v>8</x:v>
      </x:c>
      <x:c r="B287" s="23" t="str">
        <x:v>周三</x:v>
      </x:c>
      <x:c r="C287" s="23" t="str">
        <x:v>12月10日</x:v>
      </x:c>
      <x:c r="D287" s="24" t="n">
        <x:v>3901.128</x:v>
      </x:c>
      <x:c r="E287" s="24" t="n">
        <x:v>3906.116</x:v>
      </x:c>
      <x:c r="F287" s="24" t="n">
        <x:v>3876.475</x:v>
      </x:c>
      <x:c r="G287" s="24" t="n">
        <x:v>3900.496</x:v>
      </x:c>
      <x:c r="H287" s="24" t="n">
        <x:v>-9</x:v>
      </x:c>
      <x:c r="I287" s="25" t="n">
        <x:v>-0.0023087221404559655</x:v>
      </x:c>
      <x:c r="J287" s="24" t="n">
        <x:f>ROUND(E287-F287,1)</x:f>
        <x:v>29.6</x:v>
      </x:c>
      <x:c r="K287" s="23" t="str">
        <x:v>上证指数</x:v>
      </x:c>
    </x:row>
    <x:row r="288">
      <x:c r="A288" s="23" t="n">
        <x:v>9</x:v>
      </x:c>
      <x:c r="B288" s="23" t="str">
        <x:v>周四</x:v>
      </x:c>
      <x:c r="C288" s="23" t="str">
        <x:v>12月11日</x:v>
      </x:c>
      <x:c r="D288" s="24" t="n">
        <x:v>3903.895</x:v>
      </x:c>
      <x:c r="E288" s="24" t="n">
        <x:v>3904.963</x:v>
      </x:c>
      <x:c r="F288" s="24" t="n">
        <x:v>3862.821</x:v>
      </x:c>
      <x:c r="G288" s="24" t="n">
        <x:v>3873.318</x:v>
      </x:c>
      <x:c r="H288" s="24" t="n">
        <x:v>-27.2</x:v>
      </x:c>
      <x:c r="I288" s="25" t="n">
        <x:v>-0.0069678317834449555</x:v>
      </x:c>
      <x:c r="J288" s="24" t="n">
        <x:f>ROUND(E288-F288,1)</x:f>
        <x:v>42.1</x:v>
      </x:c>
      <x:c r="K288" s="23" t="str">
        <x:v>上证指数</x:v>
      </x:c>
    </x:row>
    <x:row r="289">
      <x:c r="A289" s="23" t="n">
        <x:v>10</x:v>
      </x:c>
      <x:c r="B289" s="23" t="str">
        <x:v>周五</x:v>
      </x:c>
      <x:c r="C289" s="23" t="str">
        <x:v>12月12日</x:v>
      </x:c>
      <x:c r="D289" s="24" t="n">
        <x:v>3869.413</x:v>
      </x:c>
      <x:c r="E289" s="24" t="n">
        <x:v>3891.807</x:v>
      </x:c>
      <x:c r="F289" s="24" t="n">
        <x:v>3850.597</x:v>
      </x:c>
      <x:c r="G289" s="24" t="n">
        <x:v>3889.346</x:v>
      </x:c>
      <x:c r="H289" s="24" t="n">
        <x:v>16</x:v>
      </x:c>
      <x:c r="I289" s="25" t="n">
        <x:v>0.00413805424703062</x:v>
      </x:c>
      <x:c r="J289" s="24" t="n">
        <x:f>ROUND(E289-F289,1)</x:f>
        <x:v>41.2</x:v>
      </x:c>
      <x:c r="K289" s="23" t="str">
        <x:v>上证指数</x:v>
      </x:c>
    </x:row>
    <x:row r="290">
      <x:c r="A290" s="23" t="n">
        <x:v>11</x:v>
      </x:c>
      <x:c r="B290" s="23" t="str">
        <x:v>周一</x:v>
      </x:c>
      <x:c r="C290" s="23" t="str">
        <x:v>12月15日</x:v>
      </x:c>
      <x:c r="D290" s="24" t="n">
        <x:v>3865.402</x:v>
      </x:c>
      <x:c r="E290" s="24" t="n">
        <x:v>3896.977</x:v>
      </x:c>
      <x:c r="F290" s="24" t="n">
        <x:v>3863.63</x:v>
      </x:c>
      <x:c r="G290" s="24" t="n">
        <x:v>3867.921</x:v>
      </x:c>
      <x:c r="H290" s="24" t="n">
        <x:v>-21.4</x:v>
      </x:c>
      <x:c r="I290" s="25" t="n">
        <x:v>-0.005508638213211237</x:v>
      </x:c>
      <x:c r="J290" s="24" t="n">
        <x:f>ROUND(E290-F290,1)</x:f>
        <x:v>33.3</x:v>
      </x:c>
      <x:c r="K290" s="23" t="str">
        <x:v>上证指数</x:v>
      </x:c>
    </x:row>
    <x:row r="291">
      <x:c r="A291" s="23" t="n">
        <x:v>12</x:v>
      </x:c>
      <x:c r="B291" s="23" t="str">
        <x:v>周二</x:v>
      </x:c>
      <x:c r="C291" s="23" t="str">
        <x:v>12月16日</x:v>
      </x:c>
      <x:c r="D291" s="24" t="n">
        <x:v>3861.515</x:v>
      </x:c>
      <x:c r="E291" s="24" t="n">
        <x:v>3862.427</x:v>
      </x:c>
      <x:c r="F291" s="24" t="n">
        <x:v>3815.844</x:v>
      </x:c>
      <x:c r="G291" s="24" t="n">
        <x:v>3824.812</x:v>
      </x:c>
      <x:c r="H291" s="24" t="n">
        <x:v>-43.1</x:v>
      </x:c>
      <x:c r="I291" s="25" t="n">
        <x:v>-0.011145263825191876</x:v>
      </x:c>
      <x:c r="J291" s="24" t="n">
        <x:f>ROUND(E291-F291,1)</x:f>
        <x:v>46.6</x:v>
      </x:c>
      <x:c r="K291" s="23" t="str">
        <x:v>上证指数</x:v>
      </x:c>
    </x:row>
    <x:row r="292">
      <x:c r="A292" s="23" t="n">
        <x:v>13</x:v>
      </x:c>
      <x:c r="B292" s="23" t="str">
        <x:v>周三</x:v>
      </x:c>
      <x:c r="C292" s="23" t="str">
        <x:v>12月17日</x:v>
      </x:c>
      <x:c r="D292" s="24" t="n">
        <x:v>3822.509</x:v>
      </x:c>
      <x:c r="E292" s="24" t="n">
        <x:v>3881.752</x:v>
      </x:c>
      <x:c r="F292" s="24" t="n">
        <x:v>3817.996</x:v>
      </x:c>
      <x:c r="G292" s="24" t="n">
        <x:v>3870.278</x:v>
      </x:c>
      <x:c r="H292" s="24" t="n">
        <x:v>45.5</x:v>
      </x:c>
      <x:c r="I292" s="25" t="n">
        <x:v>0.01188712020355509</x:v>
      </x:c>
      <x:c r="J292" s="29" t="n">
        <x:f>ROUND(E292-F292,1)</x:f>
        <x:v>63.8</x:v>
      </x:c>
      <x:c r="K292" s="23" t="str">
        <x:v>上证指数</x:v>
      </x:c>
    </x:row>
    <x:row r="293">
      <x:c r="A293" s="23" t="n">
        <x:v>14</x:v>
      </x:c>
      <x:c r="B293" s="23" t="str">
        <x:v>周四</x:v>
      </x:c>
      <x:c r="C293" s="23" t="str">
        <x:v>12月18日</x:v>
      </x:c>
      <x:c r="D293" s="24" t="n">
        <x:v>3857.257</x:v>
      </x:c>
      <x:c r="E293" s="24" t="n">
        <x:v>3888.285</x:v>
      </x:c>
      <x:c r="F293" s="24" t="n">
        <x:v>3856.423</x:v>
      </x:c>
      <x:c r="G293" s="24" t="n">
        <x:v>3876.371</x:v>
      </x:c>
      <x:c r="H293" s="24" t="n">
        <x:v>6.1</x:v>
      </x:c>
      <x:c r="I293" s="25" t="n">
        <x:v>0.0015743055150043705</x:v>
      </x:c>
      <x:c r="J293" s="24" t="n">
        <x:f>ROUND(E293-F293,1)</x:f>
        <x:v>31.9</x:v>
      </x:c>
      <x:c r="K293" s="23" t="str">
        <x:v>上证指数</x:v>
      </x:c>
    </x:row>
    <x:row r="294">
      <x:c r="A294" s="33" t="n">
        <x:v>15</x:v>
      </x:c>
      <x:c r="B294" s="33" t="str">
        <x:v>周五</x:v>
      </x:c>
      <x:c r="C294" s="33" t="str">
        <x:v>12月19日</x:v>
      </x:c>
      <x:c r="D294" s="34" t="n">
        <x:v>3878.227</x:v>
      </x:c>
      <x:c r="E294" s="34" t="n">
        <x:v>3902.671</x:v>
      </x:c>
      <x:c r="F294" s="34" t="n">
        <x:v>3871.777</x:v>
      </x:c>
      <x:c r="G294" s="34" t="n">
        <x:v>3890.448</x:v>
      </x:c>
      <x:c r="H294" s="34" t="n">
        <x:v>14.1</x:v>
      </x:c>
      <x:c r="I294" s="35" t="n">
        <x:v>0.0036314893491875555</x:v>
      </x:c>
      <x:c r="J294" s="34" t="n">
        <x:f>ROUND(E294-F294,1)</x:f>
        <x:v>30.9</x:v>
      </x:c>
      <x:c r="K294" s="33" t="str">
        <x:v>上证指数</x:v>
      </x:c>
    </x:row>
    <x:row r="295">
      <x:c r="A295" s="23" t="n">
        <x:v>16</x:v>
      </x:c>
      <x:c r="B295" s="23" t="str">
        <x:v>周一</x:v>
      </x:c>
      <x:c r="C295" s="23" t="str">
        <x:v>12月22日</x:v>
      </x:c>
      <x:c r="D295" s="24" t="n">
        <x:v>3900.535</x:v>
      </x:c>
      <x:c r="E295" s="24" t="n">
        <x:v>3920.012</x:v>
      </x:c>
      <x:c r="F295" s="24" t="n">
        <x:v>3900.515</x:v>
      </x:c>
      <x:c r="G295" s="24" t="n">
        <x:v>3917.364</x:v>
      </x:c>
      <x:c r="H295" s="24" t="n">
        <x:v>26.9</x:v>
      </x:c>
      <x:c r="I295" s="25" t="n">
        <x:v>0.006918483424017019</x:v>
      </x:c>
      <x:c r="J295" s="24" t="n">
        <x:f>ROUND(E295-F295,1)</x:f>
        <x:v>19.5</x:v>
      </x:c>
      <x:c r="K295" s="23" t="str">
        <x:v>上证指数</x:v>
      </x:c>
    </x:row>
    <x:row r="296">
      <x:c r="A296" s="23" t="n">
        <x:v>17</x:v>
      </x:c>
      <x:c r="B296" s="23" t="str">
        <x:v>周二</x:v>
      </x:c>
      <x:c r="C296" s="23" t="str">
        <x:v>12月23日</x:v>
      </x:c>
      <x:c r="D296" s="24" t="n">
        <x:v>3919.106</x:v>
      </x:c>
      <x:c r="E296" s="24" t="n">
        <x:v>3937.127</x:v>
      </x:c>
      <x:c r="F296" s="24" t="n">
        <x:v>3910.745</x:v>
      </x:c>
      <x:c r="G296" s="24" t="n">
        <x:v>3919.979</x:v>
      </x:c>
      <x:c r="H296" s="24" t="n">
        <x:v>2.6</x:v>
      </x:c>
      <x:c r="I296" s="25" t="n">
        <x:v>0.0006675407238132536</x:v>
      </x:c>
      <x:c r="J296" s="24" t="n">
        <x:f>ROUND(E296-F296,1)</x:f>
        <x:v>26.4</x:v>
      </x:c>
      <x:c r="K296" s="23" t="str">
        <x:v>上证指数</x:v>
      </x:c>
    </x:row>
    <x:row r="297">
      <x:c r="A297" s="23" t="n">
        <x:v>18</x:v>
      </x:c>
      <x:c r="B297" s="23" t="str">
        <x:v>周三</x:v>
      </x:c>
      <x:c r="C297" s="23" t="str">
        <x:v>12月24日</x:v>
      </x:c>
      <x:c r="D297" s="24" t="n">
        <x:v>3920.347</x:v>
      </x:c>
      <x:c r="E297" s="24" t="n">
        <x:v>3947.041</x:v>
      </x:c>
      <x:c r="F297" s="24" t="n">
        <x:v>3912.311</x:v>
      </x:c>
      <x:c r="G297" s="24" t="n">
        <x:v>3940.947</x:v>
      </x:c>
      <x:c r="H297" s="24" t="n">
        <x:v>21</x:v>
      </x:c>
      <x:c r="I297" s="25" t="n">
        <x:v>0.005349008247238052</x:v>
      </x:c>
      <x:c r="J297" s="24" t="n">
        <x:f>ROUND(E297-F297,1)</x:f>
        <x:v>34.7</x:v>
      </x:c>
      <x:c r="K297" s="23" t="str">
        <x:v>上证指数</x:v>
      </x:c>
    </x:row>
    <x:row r="298">
      <x:c r="A298" s="23" t="n">
        <x:v>19</x:v>
      </x:c>
      <x:c r="B298" s="23" t="str">
        <x:v>周四</x:v>
      </x:c>
      <x:c r="C298" s="23" t="str">
        <x:v>12月25日</x:v>
      </x:c>
      <x:c r="D298" s="24" t="n">
        <x:v>3937.72</x:v>
      </x:c>
      <x:c r="E298" s="24" t="n">
        <x:v>3964.073</x:v>
      </x:c>
      <x:c r="F298" s="24" t="n">
        <x:v>3936.078</x:v>
      </x:c>
      <x:c r="G298" s="24" t="n">
        <x:v>3959.621</x:v>
      </x:c>
      <x:c r="H298" s="24" t="n">
        <x:v>18.7</x:v>
      </x:c>
      <x:c r="I298" s="25" t="n">
        <x:v>0.004738454995715458</x:v>
      </x:c>
      <x:c r="J298" s="24" t="n">
        <x:f>ROUND(E298-F298,1)</x:f>
        <x:v>28</x:v>
      </x:c>
      <x:c r="K298" s="23" t="str">
        <x:v>上证指数</x:v>
      </x:c>
    </x:row>
    <x:row r="299">
      <x:c r="A299" s="23" t="n">
        <x:v>20</x:v>
      </x:c>
      <x:c r="B299" s="23" t="str">
        <x:v>周五</x:v>
      </x:c>
      <x:c r="C299" s="23" t="str">
        <x:v>12月26日</x:v>
      </x:c>
      <x:c r="D299" s="24" t="n">
        <x:v>3957.833</x:v>
      </x:c>
      <x:c r="E299" s="24" t="n">
        <x:v>3977.706</x:v>
      </x:c>
      <x:c r="F299" s="24" t="n">
        <x:v>3945.524</x:v>
      </x:c>
      <x:c r="G299" s="24" t="n">
        <x:v>3963.679</x:v>
      </x:c>
      <x:c r="H299" s="24" t="n">
        <x:v>4.1</x:v>
      </x:c>
      <x:c r="I299" s="25" t="n">
        <x:v>0.0010248455597139383</x:v>
      </x:c>
      <x:c r="J299" s="24" t="n">
        <x:f>ROUND(E299-F299,1)</x:f>
        <x:v>32.2</x:v>
      </x:c>
      <x:c r="K299" s="23" t="str">
        <x:v>上证指数</x:v>
      </x:c>
    </x:row>
    <x:row r="300">
      <x:c r="A300" s="23" t="n">
        <x:v>21</x:v>
      </x:c>
      <x:c r="B300" s="23" t="str">
        <x:v>周一</x:v>
      </x:c>
      <x:c r="C300" s="23" t="str">
        <x:v>12月29日</x:v>
      </x:c>
      <x:c r="D300" s="24" t="n">
        <x:v>3964.651</x:v>
      </x:c>
      <x:c r="E300" s="24" t="n">
        <x:v>3983.979</x:v>
      </x:c>
      <x:c r="F300" s="24" t="n">
        <x:v>3956.946</x:v>
      </x:c>
      <x:c r="G300" s="24" t="n">
        <x:v>3965.28</x:v>
      </x:c>
      <x:c r="H300" s="24" t="n">
        <x:v>1.6</x:v>
      </x:c>
      <x:c r="I300" s="25" t="n">
        <x:v>0.00040391767345449026</x:v>
      </x:c>
      <x:c r="J300" s="24" t="n">
        <x:f>ROUND(E300-F300,1)</x:f>
        <x:v>27</x:v>
      </x:c>
      <x:c r="K300" s="23" t="str">
        <x:v>上证指数</x:v>
      </x:c>
    </x:row>
    <x:row r="301">
      <x:c r="A301" s="23" t="n">
        <x:v>22</x:v>
      </x:c>
      <x:c r="B301" s="23" t="str">
        <x:v>周二</x:v>
      </x:c>
      <x:c r="C301" s="23" t="str">
        <x:v>12月30日</x:v>
      </x:c>
      <x:c r="D301" s="24" t="n">
        <x:v>3947.871</x:v>
      </x:c>
      <x:c r="E301" s="24" t="n">
        <x:v>3979.99</x:v>
      </x:c>
      <x:c r="F301" s="24" t="n">
        <x:v>3947.419</x:v>
      </x:c>
      <x:c r="G301" s="24" t="n">
        <x:v>3965.116</x:v>
      </x:c>
      <x:c r="H301" s="24" t="n">
        <x:v>-0.2</x:v>
      </x:c>
      <x:c r="I301" s="25" t="n">
        <x:v>-0.000041358996086038324</x:v>
      </x:c>
      <x:c r="J301" s="24" t="n">
        <x:f>ROUND(E301-F301,1)</x:f>
        <x:v>32.6</x:v>
      </x:c>
      <x:c r="K301" s="23" t="str">
        <x:v>上证指数</x:v>
      </x:c>
    </x:row>
    <x:row r="302">
      <x:c r="A302" s="23" t="n">
        <x:v>23</x:v>
      </x:c>
      <x:c r="B302" s="23" t="str">
        <x:v>周三</x:v>
      </x:c>
      <x:c r="C302" s="23" t="str">
        <x:v>12月31日</x:v>
      </x:c>
      <x:c r="D302" s="24" t="n">
        <x:v>3968.726</x:v>
      </x:c>
      <x:c r="E302" s="24" t="n">
        <x:v>3977.536</x:v>
      </x:c>
      <x:c r="F302" s="24" t="n">
        <x:v>3955.487</x:v>
      </x:c>
      <x:c r="G302" s="24" t="n">
        <x:v>3968.84</x:v>
      </x:c>
      <x:c r="H302" s="24" t="n">
        <x:v>3.7</x:v>
      </x:c>
      <x:c r="I302" s="25" t="n">
        <x:v>0.000939190681937152</x:v>
      </x:c>
      <x:c r="J302" s="24" t="n">
        <x:f>ROUND(E302-F302,1)</x:f>
        <x:v>22</x:v>
      </x:c>
      <x:c r="K302" s="23" t="str">
        <x:v>上证指数</x:v>
      </x:c>
    </x:row>
    <x:row r="303">
      <x:c r="A303" s="38" t="str">
        <x:v>合计</x:v>
      </x:c>
      <x:c r="B303" s="37" t="n">
        <x:v>23</x:v>
      </x:c>
      <x:c r="C303" s="37"/>
      <x:c r="D303" s="37"/>
      <x:c r="E303" s="37"/>
      <x:c r="F303" s="37"/>
      <x:c r="G303" s="37"/>
      <x:c r="H303" s="37"/>
      <x:c r="I303" s="37"/>
      <x:c r="J303" s="39" t="n">
        <x:f>ROUND(SUM(J280:J302),1)</x:f>
        <x:v>745.1</x:v>
      </x:c>
      <x:c r="K303" s="37"/>
    </x:row>
    <x:row r="304">
      <x:c r="A304" s="38" t="str">
        <x:v>均值</x:v>
      </x:c>
      <x:c r="B304" s="37"/>
      <x:c r="C304" s="37"/>
      <x:c r="D304" s="37"/>
      <x:c r="E304" s="37"/>
      <x:c r="F304" s="37"/>
      <x:c r="G304" s="37"/>
      <x:c r="H304" s="37"/>
      <x:c r="I304" s="37"/>
      <x:c r="J304" s="41" t="n">
        <x:f>ROUND(IFERROR(AVERAGE(J280:J302),0),1)</x:f>
        <x:v>32.4</x:v>
      </x:c>
      <x:c r="K304" s="37"/>
    </x:row>
  </x:sheetData>
  <x:mergeCells>
    <x:mergeCell ref="A1:K1"/>
    <x:mergeCell ref="A3:K3"/>
    <x:mergeCell ref="A26:K26"/>
    <x:mergeCell ref="A49:K49"/>
    <x:mergeCell ref="A75:K75"/>
    <x:mergeCell ref="A101:K101"/>
    <x:mergeCell ref="A125:K125"/>
    <x:mergeCell ref="A150:K150"/>
    <x:mergeCell ref="A178:K178"/>
    <x:mergeCell ref="A204:K204"/>
    <x:mergeCell ref="A231:K231"/>
    <x:mergeCell ref="A253:K253"/>
    <x:mergeCell ref="A278:K278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4" hidden="0" customWidth="1"/>
  </x:cols>
  <x:sheetData>
    <x:row r="1" ht="38" customHeight="1">
      <x:c r="A1" s="15" t="str">
        <x:v>2025年统计 - IM主力</x:v>
      </x:c>
    </x:row>
    <x:row r="3">
      <x:c r="A3" s="17" t="str">
        <x:v>1月</x:v>
      </x:c>
      <x:c r="B3" s="17"/>
      <x:c r="C3" s="17"/>
      <x:c r="D3" s="17"/>
      <x:c r="E3" s="17"/>
      <x:c r="F3" s="17"/>
      <x:c r="G3" s="17"/>
      <x:c r="H3" s="17"/>
      <x:c r="I3" s="17"/>
      <x:c r="J3" s="17"/>
      <x:c r="K3" s="17"/>
    </x:row>
    <x:row r="4">
      <x:c r="A4" s="20" t="str">
        <x:v>序号</x:v>
      </x:c>
      <x:c r="B4" s="20" t="str">
        <x:v>星期</x:v>
      </x:c>
      <x:c r="C4" s="20" t="str">
        <x:v>日期</x:v>
      </x:c>
      <x:c r="D4" s="20" t="str">
        <x:v>开盘</x:v>
      </x:c>
      <x:c r="E4" s="20" t="str">
        <x:v>高点</x:v>
      </x:c>
      <x:c r="F4" s="20" t="str">
        <x:v>低点</x:v>
      </x:c>
      <x:c r="G4" s="20" t="str">
        <x:v>收盘</x:v>
      </x:c>
      <x:c r="H4" s="20" t="str">
        <x:v>涨跌点数</x:v>
      </x:c>
      <x:c r="I4" s="20" t="str">
        <x:v>涨幅</x:v>
      </x:c>
      <x:c r="J4" s="20" t="str">
        <x:v>振幅</x:v>
      </x:c>
      <x:c r="K4" s="20" t="str">
        <x:v>标的</x:v>
      </x:c>
    </x:row>
    <x:row r="5">
      <x:c r="A5" s="23" t="n">
        <x:v>1</x:v>
      </x:c>
      <x:c r="B5" s="23" t="str">
        <x:v>周四</x:v>
      </x:c>
      <x:c r="C5" s="23" t="str">
        <x:v>1月2日</x:v>
      </x:c>
      <x:c r="D5" s="24" t="n">
        <x:v>5850.2</x:v>
      </x:c>
      <x:c r="E5" s="24" t="n">
        <x:v>5887.8</x:v>
      </x:c>
      <x:c r="F5" s="24" t="n">
        <x:v>5638</x:v>
      </x:c>
      <x:c r="G5" s="24" t="n">
        <x:v>5699.4</x:v>
      </x:c>
      <x:c r="H5" s="24"/>
      <x:c r="I5" s="25" t="n">
        <x:v>-0.02551037855213223</x:v>
      </x:c>
      <x:c r="J5" s="29" t="n">
        <x:f>ROUND(E5-F5,1)</x:f>
        <x:v>249.8</x:v>
      </x:c>
      <x:c r="K5" s="23" t="str">
        <x:v>IM2503</x:v>
      </x:c>
    </x:row>
    <x:row r="6">
      <x:c r="A6" s="23" t="n">
        <x:v>2</x:v>
      </x:c>
      <x:c r="B6" s="23" t="str">
        <x:v>周五</x:v>
      </x:c>
      <x:c r="C6" s="23" t="str">
        <x:v>1月3日</x:v>
      </x:c>
      <x:c r="D6" s="24" t="n">
        <x:v>5721</x:v>
      </x:c>
      <x:c r="E6" s="24" t="n">
        <x:v>5727</x:v>
      </x:c>
      <x:c r="F6" s="24" t="n">
        <x:v>5529</x:v>
      </x:c>
      <x:c r="G6" s="24" t="n">
        <x:v>5553.4</x:v>
      </x:c>
      <x:c r="H6" s="24"/>
      <x:c r="I6" s="25" t="n">
        <x:v>-0.025616731585780927</x:v>
      </x:c>
      <x:c r="J6" s="29" t="n">
        <x:f>ROUND(E6-F6,1)</x:f>
        <x:v>198</x:v>
      </x:c>
      <x:c r="K6" s="23" t="str">
        <x:v>IM2503</x:v>
      </x:c>
    </x:row>
    <x:row r="7">
      <x:c r="A7" s="23" t="n">
        <x:v>3</x:v>
      </x:c>
      <x:c r="B7" s="23" t="str">
        <x:v>周一</x:v>
      </x:c>
      <x:c r="C7" s="23" t="str">
        <x:v>1月6日</x:v>
      </x:c>
      <x:c r="D7" s="24" t="n">
        <x:v>5550.8</x:v>
      </x:c>
      <x:c r="E7" s="24" t="n">
        <x:v>5606.8</x:v>
      </x:c>
      <x:c r="F7" s="24" t="n">
        <x:v>5490.8</x:v>
      </x:c>
      <x:c r="G7" s="24" t="n">
        <x:v>5527.2</x:v>
      </x:c>
      <x:c r="H7" s="24"/>
      <x:c r="I7" s="25" t="n">
        <x:v>-0.00471783051824104</x:v>
      </x:c>
      <x:c r="J7" s="24" t="n">
        <x:f>ROUND(E7-F7,1)</x:f>
        <x:v>116</x:v>
      </x:c>
      <x:c r="K7" s="23" t="str">
        <x:v>IM2503</x:v>
      </x:c>
    </x:row>
    <x:row r="8">
      <x:c r="A8" s="23" t="n">
        <x:v>4</x:v>
      </x:c>
      <x:c r="B8" s="23" t="str">
        <x:v>周二</x:v>
      </x:c>
      <x:c r="C8" s="23" t="str">
        <x:v>1月7日</x:v>
      </x:c>
      <x:c r="D8" s="24" t="n">
        <x:v>5536</x:v>
      </x:c>
      <x:c r="E8" s="24" t="n">
        <x:v>5608.6</x:v>
      </x:c>
      <x:c r="F8" s="24" t="n">
        <x:v>5496.2</x:v>
      </x:c>
      <x:c r="G8" s="24" t="n">
        <x:v>5599</x:v>
      </x:c>
      <x:c r="H8" s="24"/>
      <x:c r="I8" s="25" t="n">
        <x:v>0.012990302503980367</x:v>
      </x:c>
      <x:c r="J8" s="24" t="n">
        <x:f>ROUND(E8-F8,1)</x:f>
        <x:v>112.4</x:v>
      </x:c>
      <x:c r="K8" s="23" t="str">
        <x:v>IM2503</x:v>
      </x:c>
    </x:row>
    <x:row r="9">
      <x:c r="A9" s="23" t="n">
        <x:v>5</x:v>
      </x:c>
      <x:c r="B9" s="23" t="str">
        <x:v>周三</x:v>
      </x:c>
      <x:c r="C9" s="23" t="str">
        <x:v>1月8日</x:v>
      </x:c>
      <x:c r="D9" s="24" t="n">
        <x:v>5570</x:v>
      </x:c>
      <x:c r="E9" s="24" t="n">
        <x:v>5622</x:v>
      </x:c>
      <x:c r="F9" s="24" t="n">
        <x:v>5402.6</x:v>
      </x:c>
      <x:c r="G9" s="24" t="n">
        <x:v>5565.4</x:v>
      </x:c>
      <x:c r="H9" s="24"/>
      <x:c r="I9" s="25" t="n">
        <x:v>-0.006001071619932241</x:v>
      </x:c>
      <x:c r="J9" s="29" t="n">
        <x:f>ROUND(E9-F9,1)</x:f>
        <x:v>219.4</x:v>
      </x:c>
      <x:c r="K9" s="23" t="str">
        <x:v>IM2503</x:v>
      </x:c>
    </x:row>
    <x:row r="10">
      <x:c r="A10" s="23" t="n">
        <x:v>6</x:v>
      </x:c>
      <x:c r="B10" s="23" t="str">
        <x:v>周四</x:v>
      </x:c>
      <x:c r="C10" s="23" t="str">
        <x:v>1月9日</x:v>
      </x:c>
      <x:c r="D10" s="24" t="n">
        <x:v>5540.2</x:v>
      </x:c>
      <x:c r="E10" s="24" t="n">
        <x:v>5615</x:v>
      </x:c>
      <x:c r="F10" s="24" t="n">
        <x:v>5539.2</x:v>
      </x:c>
      <x:c r="G10" s="24" t="n">
        <x:v>5561.2</x:v>
      </x:c>
      <x:c r="H10" s="24"/>
      <x:c r="I10" s="25" t="n">
        <x:v>-0.0007546627376289194</x:v>
      </x:c>
      <x:c r="J10" s="24" t="n">
        <x:f>ROUND(E10-F10,1)</x:f>
        <x:v>75.8</x:v>
      </x:c>
      <x:c r="K10" s="23" t="str">
        <x:v>IM2503</x:v>
      </x:c>
    </x:row>
    <x:row r="11">
      <x:c r="A11" s="23" t="n">
        <x:v>7</x:v>
      </x:c>
      <x:c r="B11" s="23" t="str">
        <x:v>周五</x:v>
      </x:c>
      <x:c r="C11" s="23" t="str">
        <x:v>1月10日</x:v>
      </x:c>
      <x:c r="D11" s="24" t="n">
        <x:v>5559</x:v>
      </x:c>
      <x:c r="E11" s="24" t="n">
        <x:v>5630</x:v>
      </x:c>
      <x:c r="F11" s="24" t="n">
        <x:v>5452</x:v>
      </x:c>
      <x:c r="G11" s="24" t="n">
        <x:v>5456</x:v>
      </x:c>
      <x:c r="H11" s="24"/>
      <x:c r="I11" s="25" t="n">
        <x:v>-0.018916780550960244</x:v>
      </x:c>
      <x:c r="J11" s="24" t="n">
        <x:f>ROUND(E11-F11,1)</x:f>
        <x:v>178</x:v>
      </x:c>
      <x:c r="K11" s="23" t="str">
        <x:v>IM2503</x:v>
      </x:c>
    </x:row>
    <x:row r="12">
      <x:c r="A12" s="23" t="n">
        <x:v>8</x:v>
      </x:c>
      <x:c r="B12" s="23" t="str">
        <x:v>周一</x:v>
      </x:c>
      <x:c r="C12" s="23" t="str">
        <x:v>1月13日</x:v>
      </x:c>
      <x:c r="D12" s="24" t="n">
        <x:v>5429.6</x:v>
      </x:c>
      <x:c r="E12" s="24" t="n">
        <x:v>5525</x:v>
      </x:c>
      <x:c r="F12" s="24" t="n">
        <x:v>5381</x:v>
      </x:c>
      <x:c r="G12" s="24" t="n">
        <x:v>5480.8</x:v>
      </x:c>
      <x:c r="H12" s="24"/>
      <x:c r="I12" s="25" t="n">
        <x:v>0.00454545454545463</x:v>
      </x:c>
      <x:c r="J12" s="24" t="n">
        <x:f>ROUND(E12-F12,1)</x:f>
        <x:v>144</x:v>
      </x:c>
      <x:c r="K12" s="23" t="str">
        <x:v>IM2503</x:v>
      </x:c>
    </x:row>
    <x:row r="13">
      <x:c r="A13" s="23" t="n">
        <x:v>9</x:v>
      </x:c>
      <x:c r="B13" s="23" t="str">
        <x:v>周二</x:v>
      </x:c>
      <x:c r="C13" s="23" t="str">
        <x:v>1月14日</x:v>
      </x:c>
      <x:c r="D13" s="24" t="n">
        <x:v>5511</x:v>
      </x:c>
      <x:c r="E13" s="24" t="n">
        <x:v>5752</x:v>
      </x:c>
      <x:c r="F13" s="24" t="n">
        <x:v>5477</x:v>
      </x:c>
      <x:c r="G13" s="24" t="n">
        <x:v>5747.6</x:v>
      </x:c>
      <x:c r="H13" s="24"/>
      <x:c r="I13" s="25" t="n">
        <x:v>0.04867902495985987</x:v>
      </x:c>
      <x:c r="J13" s="29" t="n">
        <x:f>ROUND(E13-F13,1)</x:f>
        <x:v>275</x:v>
      </x:c>
      <x:c r="K13" s="23" t="str">
        <x:v>IM2503</x:v>
      </x:c>
    </x:row>
    <x:row r="14">
      <x:c r="A14" s="23" t="n">
        <x:v>10</x:v>
      </x:c>
      <x:c r="B14" s="23" t="str">
        <x:v>周三</x:v>
      </x:c>
      <x:c r="C14" s="23" t="str">
        <x:v>1月15日</x:v>
      </x:c>
      <x:c r="D14" s="24" t="n">
        <x:v>5733</x:v>
      </x:c>
      <x:c r="E14" s="24" t="n">
        <x:v>5745</x:v>
      </x:c>
      <x:c r="F14" s="24" t="n">
        <x:v>5673.6</x:v>
      </x:c>
      <x:c r="G14" s="24" t="n">
        <x:v>5702.4</x:v>
      </x:c>
      <x:c r="H14" s="24"/>
      <x:c r="I14" s="25" t="n">
        <x:v>-0.007864151993875801</x:v>
      </x:c>
      <x:c r="J14" s="24" t="n">
        <x:f>ROUND(E14-F14,1)</x:f>
        <x:v>71.4</x:v>
      </x:c>
      <x:c r="K14" s="23" t="str">
        <x:v>IM2503</x:v>
      </x:c>
    </x:row>
    <x:row r="15">
      <x:c r="A15" s="23" t="n">
        <x:v>11</x:v>
      </x:c>
      <x:c r="B15" s="23" t="str">
        <x:v>周四</x:v>
      </x:c>
      <x:c r="C15" s="23" t="str">
        <x:v>1月16日</x:v>
      </x:c>
      <x:c r="D15" s="24" t="n">
        <x:v>5733.8</x:v>
      </x:c>
      <x:c r="E15" s="24" t="n">
        <x:v>5852.6</x:v>
      </x:c>
      <x:c r="F15" s="24" t="n">
        <x:v>5677</x:v>
      </x:c>
      <x:c r="G15" s="24" t="n">
        <x:v>5720.4</x:v>
      </x:c>
      <x:c r="H15" s="24"/>
      <x:c r="I15" s="25" t="n">
        <x:v>0.0031565656565657463</x:v>
      </x:c>
      <x:c r="J15" s="24" t="n">
        <x:f>ROUND(E15-F15,1)</x:f>
        <x:v>175.6</x:v>
      </x:c>
      <x:c r="K15" s="23" t="str">
        <x:v>IM2503</x:v>
      </x:c>
    </x:row>
    <x:row r="16">
      <x:c r="A16" s="33" t="n">
        <x:v>12</x:v>
      </x:c>
      <x:c r="B16" s="33" t="str">
        <x:v>周五</x:v>
      </x:c>
      <x:c r="C16" s="33" t="str">
        <x:v>1月17日</x:v>
      </x:c>
      <x:c r="D16" s="34" t="n">
        <x:v>5703</x:v>
      </x:c>
      <x:c r="E16" s="34" t="n">
        <x:v>5832</x:v>
      </x:c>
      <x:c r="F16" s="34" t="n">
        <x:v>5686</x:v>
      </x:c>
      <x:c r="G16" s="34" t="n">
        <x:v>5778</x:v>
      </x:c>
      <x:c r="H16" s="34"/>
      <x:c r="I16" s="35" t="n">
        <x:v>0.010069225928256875</x:v>
      </x:c>
      <x:c r="J16" s="34" t="n">
        <x:f>ROUND(E16-F16,1)</x:f>
        <x:v>146</x:v>
      </x:c>
      <x:c r="K16" s="33" t="str">
        <x:v>IM2503</x:v>
      </x:c>
    </x:row>
    <x:row r="17">
      <x:c r="A17" s="23" t="n">
        <x:v>13</x:v>
      </x:c>
      <x:c r="B17" s="23" t="str">
        <x:v>周一</x:v>
      </x:c>
      <x:c r="C17" s="23" t="str">
        <x:v>1月20日</x:v>
      </x:c>
      <x:c r="D17" s="24" t="n">
        <x:v>5820</x:v>
      </x:c>
      <x:c r="E17" s="24" t="n">
        <x:v>5885</x:v>
      </x:c>
      <x:c r="F17" s="24" t="n">
        <x:v>5797.4</x:v>
      </x:c>
      <x:c r="G17" s="24" t="n">
        <x:v>5816.4</x:v>
      </x:c>
      <x:c r="H17" s="24"/>
      <x:c r="I17" s="25" t="n">
        <x:v>0.006645898234683312</x:v>
      </x:c>
      <x:c r="J17" s="24" t="n">
        <x:f>ROUND(E17-F17,1)</x:f>
        <x:v>87.6</x:v>
      </x:c>
      <x:c r="K17" s="23" t="str">
        <x:v>IM2503</x:v>
      </x:c>
    </x:row>
    <x:row r="18">
      <x:c r="A18" s="23" t="n">
        <x:v>14</x:v>
      </x:c>
      <x:c r="B18" s="23" t="str">
        <x:v>周二</x:v>
      </x:c>
      <x:c r="C18" s="23" t="str">
        <x:v>1月21日</x:v>
      </x:c>
      <x:c r="D18" s="24" t="n">
        <x:v>5855</x:v>
      </x:c>
      <x:c r="E18" s="24" t="n">
        <x:v>5872.8</x:v>
      </x:c>
      <x:c r="F18" s="24" t="n">
        <x:v>5766</x:v>
      </x:c>
      <x:c r="G18" s="24" t="n">
        <x:v>5845.6</x:v>
      </x:c>
      <x:c r="H18" s="24"/>
      <x:c r="I18" s="25" t="n">
        <x:v>0.005020287463035622</x:v>
      </x:c>
      <x:c r="J18" s="24" t="n">
        <x:f>ROUND(E18-F18,1)</x:f>
        <x:v>106.8</x:v>
      </x:c>
      <x:c r="K18" s="23" t="str">
        <x:v>IM2503</x:v>
      </x:c>
    </x:row>
    <x:row r="19">
      <x:c r="A19" s="23" t="n">
        <x:v>15</x:v>
      </x:c>
      <x:c r="B19" s="23" t="str">
        <x:v>周三</x:v>
      </x:c>
      <x:c r="C19" s="23" t="str">
        <x:v>1月22日</x:v>
      </x:c>
      <x:c r="D19" s="24" t="n">
        <x:v>5817</x:v>
      </x:c>
      <x:c r="E19" s="24" t="n">
        <x:v>5829</x:v>
      </x:c>
      <x:c r="F19" s="24" t="n">
        <x:v>5751</x:v>
      </x:c>
      <x:c r="G19" s="24" t="n">
        <x:v>5806.6</x:v>
      </x:c>
      <x:c r="H19" s="24"/>
      <x:c r="I19" s="25" t="n">
        <x:v>-0.0066716846859176115</x:v>
      </x:c>
      <x:c r="J19" s="24" t="n">
        <x:f>ROUND(E19-F19,1)</x:f>
        <x:v>78</x:v>
      </x:c>
      <x:c r="K19" s="23" t="str">
        <x:v>IM2503</x:v>
      </x:c>
    </x:row>
    <x:row r="20">
      <x:c r="A20" s="23" t="n">
        <x:v>16</x:v>
      </x:c>
      <x:c r="B20" s="23" t="str">
        <x:v>周四</x:v>
      </x:c>
      <x:c r="C20" s="23" t="str">
        <x:v>1月23日</x:v>
      </x:c>
      <x:c r="D20" s="24" t="n">
        <x:v>5859</x:v>
      </x:c>
      <x:c r="E20" s="24" t="n">
        <x:v>5961.8</x:v>
      </x:c>
      <x:c r="F20" s="24" t="n">
        <x:v>5775</x:v>
      </x:c>
      <x:c r="G20" s="24" t="n">
        <x:v>5776.2</x:v>
      </x:c>
      <x:c r="H20" s="24"/>
      <x:c r="I20" s="25" t="n">
        <x:v>-0.005235421761443981</x:v>
      </x:c>
      <x:c r="J20" s="24" t="n">
        <x:f>ROUND(E20-F20,1)</x:f>
        <x:v>186.8</x:v>
      </x:c>
      <x:c r="K20" s="23" t="str">
        <x:v>IM2503</x:v>
      </x:c>
    </x:row>
    <x:row r="21">
      <x:c r="A21" s="23" t="n">
        <x:v>17</x:v>
      </x:c>
      <x:c r="B21" s="23" t="str">
        <x:v>周五</x:v>
      </x:c>
      <x:c r="C21" s="23" t="str">
        <x:v>1月24日</x:v>
      </x:c>
      <x:c r="D21" s="24" t="n">
        <x:v>5776.8</x:v>
      </x:c>
      <x:c r="E21" s="24" t="n">
        <x:v>5926.4</x:v>
      </x:c>
      <x:c r="F21" s="24" t="n">
        <x:v>5776.8</x:v>
      </x:c>
      <x:c r="G21" s="24" t="n">
        <x:v>5920</x:v>
      </x:c>
      <x:c r="H21" s="24"/>
      <x:c r="I21" s="25" t="n">
        <x:v>0.024895259859423202</x:v>
      </x:c>
      <x:c r="J21" s="24" t="n">
        <x:f>ROUND(E21-F21,1)</x:f>
        <x:v>149.6</x:v>
      </x:c>
      <x:c r="K21" s="23" t="str">
        <x:v>IM2503</x:v>
      </x:c>
    </x:row>
    <x:row r="22">
      <x:c r="A22" s="23" t="n">
        <x:v>18</x:v>
      </x:c>
      <x:c r="B22" s="23" t="str">
        <x:v>周一</x:v>
      </x:c>
      <x:c r="C22" s="23" t="str">
        <x:v>1月27日</x:v>
      </x:c>
      <x:c r="D22" s="24" t="n">
        <x:v>5948.4</x:v>
      </x:c>
      <x:c r="E22" s="24" t="n">
        <x:v>5954</x:v>
      </x:c>
      <x:c r="F22" s="24" t="n">
        <x:v>5786</x:v>
      </x:c>
      <x:c r="G22" s="24" t="n">
        <x:v>5790.6</x:v>
      </x:c>
      <x:c r="H22" s="24"/>
      <x:c r="I22" s="25" t="n">
        <x:v>-0.021858108108108065</x:v>
      </x:c>
      <x:c r="J22" s="24" t="n">
        <x:f>ROUND(E22-F22,1)</x:f>
        <x:v>168</x:v>
      </x:c>
      <x:c r="K22" s="23" t="str">
        <x:v>IM2503</x:v>
      </x:c>
    </x:row>
    <x:row r="23">
      <x:c r="A23" s="38" t="str">
        <x:v>合计</x:v>
      </x:c>
      <x:c r="B23" s="37" t="n">
        <x:v>18</x:v>
      </x:c>
      <x:c r="C23" s="37"/>
      <x:c r="D23" s="37"/>
      <x:c r="E23" s="37"/>
      <x:c r="F23" s="37"/>
      <x:c r="G23" s="37"/>
      <x:c r="H23" s="37"/>
      <x:c r="I23" s="37"/>
      <x:c r="J23" s="39" t="n">
        <x:f>ROUND(SUM(J5:J22),1)</x:f>
        <x:v>2738.2</x:v>
      </x:c>
      <x:c r="K23" s="37"/>
    </x:row>
    <x:row r="24">
      <x:c r="A24" s="38" t="str">
        <x:v>均值</x:v>
      </x:c>
      <x:c r="B24" s="37"/>
      <x:c r="C24" s="37"/>
      <x:c r="D24" s="37"/>
      <x:c r="E24" s="37"/>
      <x:c r="F24" s="37"/>
      <x:c r="G24" s="37"/>
      <x:c r="H24" s="37"/>
      <x:c r="I24" s="37"/>
      <x:c r="J24" s="41" t="n">
        <x:f>ROUND(IFERROR(AVERAGE(J5:J22),0),1)</x:f>
        <x:v>152.1</x:v>
      </x:c>
      <x:c r="K24" s="37"/>
    </x:row>
    <x:row r="26">
      <x:c r="A26" s="17" t="str">
        <x:v>2月</x:v>
      </x:c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</x:row>
    <x:row r="27">
      <x:c r="A27" s="20" t="str">
        <x:v>序号</x:v>
      </x:c>
      <x:c r="B27" s="20" t="str">
        <x:v>星期</x:v>
      </x:c>
      <x:c r="C27" s="20" t="str">
        <x:v>日期</x:v>
      </x:c>
      <x:c r="D27" s="20" t="str">
        <x:v>开盘</x:v>
      </x:c>
      <x:c r="E27" s="20" t="str">
        <x:v>高点</x:v>
      </x:c>
      <x:c r="F27" s="20" t="str">
        <x:v>低点</x:v>
      </x:c>
      <x:c r="G27" s="20" t="str">
        <x:v>收盘</x:v>
      </x:c>
      <x:c r="H27" s="20" t="str">
        <x:v>涨跌点数</x:v>
      </x:c>
      <x:c r="I27" s="20" t="str">
        <x:v>涨幅</x:v>
      </x:c>
      <x:c r="J27" s="20" t="str">
        <x:v>振幅</x:v>
      </x:c>
      <x:c r="K27" s="20" t="str">
        <x:v>标的</x:v>
      </x:c>
    </x:row>
    <x:row r="28">
      <x:c r="A28" s="23" t="n">
        <x:v>1</x:v>
      </x:c>
      <x:c r="B28" s="23" t="str">
        <x:v>周三</x:v>
      </x:c>
      <x:c r="C28" s="23" t="str">
        <x:v>2月5日</x:v>
      </x:c>
      <x:c r="D28" s="24" t="n">
        <x:v>5861</x:v>
      </x:c>
      <x:c r="E28" s="24" t="n">
        <x:v>5904</x:v>
      </x:c>
      <x:c r="F28" s="24" t="n">
        <x:v>5796</x:v>
      </x:c>
      <x:c r="G28" s="24" t="n">
        <x:v>5832.2</x:v>
      </x:c>
      <x:c r="H28" s="24"/>
      <x:c r="I28" s="25" t="n">
        <x:v>0.007184056919835591</x:v>
      </x:c>
      <x:c r="J28" s="24" t="n">
        <x:f>ROUND(E28-F28,1)</x:f>
        <x:v>108</x:v>
      </x:c>
      <x:c r="K28" s="23" t="str">
        <x:v>IM2503</x:v>
      </x:c>
    </x:row>
    <x:row r="29">
      <x:c r="A29" s="23" t="n">
        <x:v>2</x:v>
      </x:c>
      <x:c r="B29" s="23" t="str">
        <x:v>周四</x:v>
      </x:c>
      <x:c r="C29" s="23" t="str">
        <x:v>2月6日</x:v>
      </x:c>
      <x:c r="D29" s="24" t="n">
        <x:v>5828.8</x:v>
      </x:c>
      <x:c r="E29" s="24" t="n">
        <x:v>6012</x:v>
      </x:c>
      <x:c r="F29" s="24" t="n">
        <x:v>5797</x:v>
      </x:c>
      <x:c r="G29" s="24" t="n">
        <x:v>5988.6</x:v>
      </x:c>
      <x:c r="H29" s="24"/>
      <x:c r="I29" s="25" t="n">
        <x:v>0.026816638661225634</x:v>
      </x:c>
      <x:c r="J29" s="29" t="n">
        <x:f>ROUND(E29-F29,1)</x:f>
        <x:v>215</x:v>
      </x:c>
      <x:c r="K29" s="23" t="str">
        <x:v>IM2503</x:v>
      </x:c>
    </x:row>
    <x:row r="30">
      <x:c r="A30" s="23" t="n">
        <x:v>3</x:v>
      </x:c>
      <x:c r="B30" s="23" t="str">
        <x:v>周五</x:v>
      </x:c>
      <x:c r="C30" s="23" t="str">
        <x:v>2月7日</x:v>
      </x:c>
      <x:c r="D30" s="24" t="n">
        <x:v>5996.8</x:v>
      </x:c>
      <x:c r="E30" s="24" t="n">
        <x:v>6176</x:v>
      </x:c>
      <x:c r="F30" s="24" t="n">
        <x:v>5988</x:v>
      </x:c>
      <x:c r="G30" s="24" t="n">
        <x:v>6095.4</x:v>
      </x:c>
      <x:c r="H30" s="24"/>
      <x:c r="I30" s="25" t="n">
        <x:v>0.017833884380322518</x:v>
      </x:c>
      <x:c r="J30" s="24" t="n">
        <x:f>ROUND(E30-F30,1)</x:f>
        <x:v>188</x:v>
      </x:c>
      <x:c r="K30" s="23" t="str">
        <x:v>IM2503</x:v>
      </x:c>
    </x:row>
    <x:row r="31">
      <x:c r="A31" s="23" t="n">
        <x:v>4</x:v>
      </x:c>
      <x:c r="B31" s="23" t="str">
        <x:v>周一</x:v>
      </x:c>
      <x:c r="C31" s="23" t="str">
        <x:v>2月10日</x:v>
      </x:c>
      <x:c r="D31" s="24" t="n">
        <x:v>6115</x:v>
      </x:c>
      <x:c r="E31" s="24" t="n">
        <x:v>6169.8</x:v>
      </x:c>
      <x:c r="F31" s="24" t="n">
        <x:v>6083</x:v>
      </x:c>
      <x:c r="G31" s="24" t="n">
        <x:v>6143.6</x:v>
      </x:c>
      <x:c r="H31" s="24"/>
      <x:c r="I31" s="25" t="n">
        <x:v>0.007907602454309881</x:v>
      </x:c>
      <x:c r="J31" s="24" t="n">
        <x:f>ROUND(E31-F31,1)</x:f>
        <x:v>86.8</x:v>
      </x:c>
      <x:c r="K31" s="23" t="str">
        <x:v>IM2503</x:v>
      </x:c>
    </x:row>
    <x:row r="32">
      <x:c r="A32" s="23" t="n">
        <x:v>5</x:v>
      </x:c>
      <x:c r="B32" s="23" t="str">
        <x:v>周二</x:v>
      </x:c>
      <x:c r="C32" s="23" t="str">
        <x:v>2月11日</x:v>
      </x:c>
      <x:c r="D32" s="24" t="n">
        <x:v>6139</x:v>
      </x:c>
      <x:c r="E32" s="24" t="n">
        <x:v>6156</x:v>
      </x:c>
      <x:c r="F32" s="24" t="n">
        <x:v>6077</x:v>
      </x:c>
      <x:c r="G32" s="24" t="n">
        <x:v>6133.2</x:v>
      </x:c>
      <x:c r="H32" s="24"/>
      <x:c r="I32" s="25" t="n">
        <x:v>-0.0016928185428739528</x:v>
      </x:c>
      <x:c r="J32" s="24" t="n">
        <x:f>ROUND(E32-F32,1)</x:f>
        <x:v>79</x:v>
      </x:c>
      <x:c r="K32" s="23" t="str">
        <x:v>IM2503</x:v>
      </x:c>
    </x:row>
    <x:row r="33">
      <x:c r="A33" s="23" t="n">
        <x:v>6</x:v>
      </x:c>
      <x:c r="B33" s="23" t="str">
        <x:v>周三</x:v>
      </x:c>
      <x:c r="C33" s="23" t="str">
        <x:v>2月12日</x:v>
      </x:c>
      <x:c r="D33" s="24" t="n">
        <x:v>6123.4</x:v>
      </x:c>
      <x:c r="E33" s="24" t="n">
        <x:v>6227.8</x:v>
      </x:c>
      <x:c r="F33" s="24" t="n">
        <x:v>6119.4</x:v>
      </x:c>
      <x:c r="G33" s="24" t="n">
        <x:v>6223</x:v>
      </x:c>
      <x:c r="H33" s="24"/>
      <x:c r="I33" s="25" t="n">
        <x:v>0.014641622643970509</x:v>
      </x:c>
      <x:c r="J33" s="24" t="n">
        <x:f>ROUND(E33-F33,1)</x:f>
        <x:v>108.4</x:v>
      </x:c>
      <x:c r="K33" s="23" t="str">
        <x:v>IM2503</x:v>
      </x:c>
    </x:row>
    <x:row r="34">
      <x:c r="A34" s="23" t="n">
        <x:v>7</x:v>
      </x:c>
      <x:c r="B34" s="23" t="str">
        <x:v>周四</x:v>
      </x:c>
      <x:c r="C34" s="23" t="str">
        <x:v>2月13日</x:v>
      </x:c>
      <x:c r="D34" s="24" t="n">
        <x:v>6217</x:v>
      </x:c>
      <x:c r="E34" s="24" t="n">
        <x:v>6226</x:v>
      </x:c>
      <x:c r="F34" s="24" t="n">
        <x:v>6155</x:v>
      </x:c>
      <x:c r="G34" s="24" t="n">
        <x:v>6175</x:v>
      </x:c>
      <x:c r="H34" s="24"/>
      <x:c r="I34" s="25" t="n">
        <x:v>-0.0077133215490921</x:v>
      </x:c>
      <x:c r="J34" s="24" t="n">
        <x:f>ROUND(E34-F34,1)</x:f>
        <x:v>71</x:v>
      </x:c>
      <x:c r="K34" s="23" t="str">
        <x:v>IM2503</x:v>
      </x:c>
    </x:row>
    <x:row r="35">
      <x:c r="A35" s="23" t="n">
        <x:v>8</x:v>
      </x:c>
      <x:c r="B35" s="23" t="str">
        <x:v>周五</x:v>
      </x:c>
      <x:c r="C35" s="23" t="str">
        <x:v>2月14日</x:v>
      </x:c>
      <x:c r="D35" s="24" t="n">
        <x:v>6178</x:v>
      </x:c>
      <x:c r="E35" s="24" t="n">
        <x:v>6219.8</x:v>
      </x:c>
      <x:c r="F35" s="24" t="n">
        <x:v>6132</x:v>
      </x:c>
      <x:c r="G35" s="24" t="n">
        <x:v>6205.2</x:v>
      </x:c>
      <x:c r="H35" s="24"/>
      <x:c r="I35" s="25" t="n">
        <x:v>0.0048906882591093215</x:v>
      </x:c>
      <x:c r="J35" s="24" t="n">
        <x:f>ROUND(E35-F35,1)</x:f>
        <x:v>87.8</x:v>
      </x:c>
      <x:c r="K35" s="23" t="str">
        <x:v>IM2503</x:v>
      </x:c>
    </x:row>
    <x:row r="36">
      <x:c r="A36" s="23" t="n">
        <x:v>9</x:v>
      </x:c>
      <x:c r="B36" s="23" t="str">
        <x:v>周一</x:v>
      </x:c>
      <x:c r="C36" s="23" t="str">
        <x:v>2月17日</x:v>
      </x:c>
      <x:c r="D36" s="24" t="n">
        <x:v>6241</x:v>
      </x:c>
      <x:c r="E36" s="24" t="n">
        <x:v>6259.8</x:v>
      </x:c>
      <x:c r="F36" s="24" t="n">
        <x:v>6168.4</x:v>
      </x:c>
      <x:c r="G36" s="24" t="n">
        <x:v>6219.2</x:v>
      </x:c>
      <x:c r="H36" s="24"/>
      <x:c r="I36" s="25" t="n">
        <x:v>0.0022561722426353015</x:v>
      </x:c>
      <x:c r="J36" s="24" t="n">
        <x:f>ROUND(E36-F36,1)</x:f>
        <x:v>91.4</x:v>
      </x:c>
      <x:c r="K36" s="23" t="str">
        <x:v>IM2503</x:v>
      </x:c>
    </x:row>
    <x:row r="37">
      <x:c r="A37" s="23" t="n">
        <x:v>10</x:v>
      </x:c>
      <x:c r="B37" s="23" t="str">
        <x:v>周二</x:v>
      </x:c>
      <x:c r="C37" s="23" t="str">
        <x:v>2月18日</x:v>
      </x:c>
      <x:c r="D37" s="24" t="n">
        <x:v>6206.6</x:v>
      </x:c>
      <x:c r="E37" s="24" t="n">
        <x:v>6236</x:v>
      </x:c>
      <x:c r="F37" s="24" t="n">
        <x:v>6065.6</x:v>
      </x:c>
      <x:c r="G37" s="24" t="n">
        <x:v>6110.2</x:v>
      </x:c>
      <x:c r="H37" s="24"/>
      <x:c r="I37" s="25" t="n">
        <x:v>-0.017526369951119114</x:v>
      </x:c>
      <x:c r="J37" s="24" t="n">
        <x:f>ROUND(E37-F37,1)</x:f>
        <x:v>170.4</x:v>
      </x:c>
      <x:c r="K37" s="23" t="str">
        <x:v>IM2503</x:v>
      </x:c>
    </x:row>
    <x:row r="38">
      <x:c r="A38" s="23" t="n">
        <x:v>11</x:v>
      </x:c>
      <x:c r="B38" s="23" t="str">
        <x:v>周三</x:v>
      </x:c>
      <x:c r="C38" s="23" t="str">
        <x:v>2月19日</x:v>
      </x:c>
      <x:c r="D38" s="24" t="n">
        <x:v>6107</x:v>
      </x:c>
      <x:c r="E38" s="24" t="n">
        <x:v>6247.8</x:v>
      </x:c>
      <x:c r="F38" s="24" t="n">
        <x:v>6099.6</x:v>
      </x:c>
      <x:c r="G38" s="24" t="n">
        <x:v>6240</x:v>
      </x:c>
      <x:c r="H38" s="24"/>
      <x:c r="I38" s="25" t="n">
        <x:v>0.02124316716310437</x:v>
      </x:c>
      <x:c r="J38" s="24" t="n">
        <x:f>ROUND(E38-F38,1)</x:f>
        <x:v>148.2</x:v>
      </x:c>
      <x:c r="K38" s="23" t="str">
        <x:v>IM2503</x:v>
      </x:c>
    </x:row>
    <x:row r="39">
      <x:c r="A39" s="23" t="n">
        <x:v>12</x:v>
      </x:c>
      <x:c r="B39" s="23" t="str">
        <x:v>周四</x:v>
      </x:c>
      <x:c r="C39" s="23" t="str">
        <x:v>2月20日</x:v>
      </x:c>
      <x:c r="D39" s="24" t="n">
        <x:v>6231.8</x:v>
      </x:c>
      <x:c r="E39" s="24" t="n">
        <x:v>6291.8</x:v>
      </x:c>
      <x:c r="F39" s="24" t="n">
        <x:v>6206</x:v>
      </x:c>
      <x:c r="G39" s="24" t="n">
        <x:v>6254.4</x:v>
      </x:c>
      <x:c r="H39" s="24"/>
      <x:c r="I39" s="25" t="n">
        <x:v>0.002307692307692344</x:v>
      </x:c>
      <x:c r="J39" s="24" t="n">
        <x:f>ROUND(E39-F39,1)</x:f>
        <x:v>85.8</x:v>
      </x:c>
      <x:c r="K39" s="23" t="str">
        <x:v>IM2503</x:v>
      </x:c>
    </x:row>
    <x:row r="40">
      <x:c r="A40" s="33" t="n">
        <x:v>13</x:v>
      </x:c>
      <x:c r="B40" s="33" t="str">
        <x:v>周五</x:v>
      </x:c>
      <x:c r="C40" s="33" t="str">
        <x:v>2月21日</x:v>
      </x:c>
      <x:c r="D40" s="34" t="n">
        <x:v>6274.8</x:v>
      </x:c>
      <x:c r="E40" s="34" t="n">
        <x:v>6423</x:v>
      </x:c>
      <x:c r="F40" s="34" t="n">
        <x:v>6246</x:v>
      </x:c>
      <x:c r="G40" s="34" t="n">
        <x:v>6399</x:v>
      </x:c>
      <x:c r="H40" s="34"/>
      <x:c r="I40" s="35" t="n">
        <x:v>0.023119723714505103</x:v>
      </x:c>
      <x:c r="J40" s="34" t="n">
        <x:f>ROUND(E40-F40,1)</x:f>
        <x:v>177</x:v>
      </x:c>
      <x:c r="K40" s="33" t="str">
        <x:v>IM2503</x:v>
      </x:c>
    </x:row>
    <x:row r="41">
      <x:c r="A41" s="23" t="n">
        <x:v>14</x:v>
      </x:c>
      <x:c r="B41" s="23" t="str">
        <x:v>周一</x:v>
      </x:c>
      <x:c r="C41" s="23" t="str">
        <x:v>2月24日</x:v>
      </x:c>
      <x:c r="D41" s="24" t="n">
        <x:v>6380</x:v>
      </x:c>
      <x:c r="E41" s="24" t="n">
        <x:v>6409.8</x:v>
      </x:c>
      <x:c r="F41" s="24" t="n">
        <x:v>6327.8</x:v>
      </x:c>
      <x:c r="G41" s="24" t="n">
        <x:v>6366.6</x:v>
      </x:c>
      <x:c r="H41" s="24"/>
      <x:c r="I41" s="25" t="n">
        <x:v>-0.005063291139240422</x:v>
      </x:c>
      <x:c r="J41" s="24" t="n">
        <x:f>ROUND(E41-F41,1)</x:f>
        <x:v>82</x:v>
      </x:c>
      <x:c r="K41" s="23" t="str">
        <x:v>IM2503</x:v>
      </x:c>
    </x:row>
    <x:row r="42">
      <x:c r="A42" s="23" t="n">
        <x:v>15</x:v>
      </x:c>
      <x:c r="B42" s="23" t="str">
        <x:v>周二</x:v>
      </x:c>
      <x:c r="C42" s="23" t="str">
        <x:v>2月25日</x:v>
      </x:c>
      <x:c r="D42" s="24" t="n">
        <x:v>6309.4</x:v>
      </x:c>
      <x:c r="E42" s="24" t="n">
        <x:v>6405.2</x:v>
      </x:c>
      <x:c r="F42" s="24" t="n">
        <x:v>6292</x:v>
      </x:c>
      <x:c r="G42" s="24" t="n">
        <x:v>6355.4</x:v>
      </x:c>
      <x:c r="H42" s="24"/>
      <x:c r="I42" s="25" t="n">
        <x:v>-0.001759180724405618</x:v>
      </x:c>
      <x:c r="J42" s="24" t="n">
        <x:f>ROUND(E42-F42,1)</x:f>
        <x:v>113.2</x:v>
      </x:c>
      <x:c r="K42" s="23" t="str">
        <x:v>IM2503</x:v>
      </x:c>
    </x:row>
    <x:row r="43">
      <x:c r="A43" s="23" t="n">
        <x:v>16</x:v>
      </x:c>
      <x:c r="B43" s="23" t="str">
        <x:v>周三</x:v>
      </x:c>
      <x:c r="C43" s="23" t="str">
        <x:v>2月26日</x:v>
      </x:c>
      <x:c r="D43" s="24" t="n">
        <x:v>6376.6</x:v>
      </x:c>
      <x:c r="E43" s="24" t="n">
        <x:v>6465</x:v>
      </x:c>
      <x:c r="F43" s="24" t="n">
        <x:v>6322.2</x:v>
      </x:c>
      <x:c r="G43" s="24" t="n">
        <x:v>6420.8</x:v>
      </x:c>
      <x:c r="H43" s="24"/>
      <x:c r="I43" s="25" t="n">
        <x:v>0.010290461654655969</x:v>
      </x:c>
      <x:c r="J43" s="24" t="n">
        <x:f>ROUND(E43-F43,1)</x:f>
        <x:v>142.8</x:v>
      </x:c>
      <x:c r="K43" s="23" t="str">
        <x:v>IM2503</x:v>
      </x:c>
    </x:row>
    <x:row r="44">
      <x:c r="A44" s="23" t="n">
        <x:v>17</x:v>
      </x:c>
      <x:c r="B44" s="23" t="str">
        <x:v>周四</x:v>
      </x:c>
      <x:c r="C44" s="23" t="str">
        <x:v>2月27日</x:v>
      </x:c>
      <x:c r="D44" s="24" t="n">
        <x:v>6412.6</x:v>
      </x:c>
      <x:c r="E44" s="24" t="n">
        <x:v>6453.6</x:v>
      </x:c>
      <x:c r="F44" s="24" t="n">
        <x:v>6324.6</x:v>
      </x:c>
      <x:c r="G44" s="24" t="n">
        <x:v>6415</x:v>
      </x:c>
      <x:c r="H44" s="24"/>
      <x:c r="I44" s="25" t="n">
        <x:v>-0.0009033142287565576</x:v>
      </x:c>
      <x:c r="J44" s="24" t="n">
        <x:f>ROUND(E44-F44,1)</x:f>
        <x:v>129</x:v>
      </x:c>
      <x:c r="K44" s="23" t="str">
        <x:v>IM2503</x:v>
      </x:c>
    </x:row>
    <x:row r="45">
      <x:c r="A45" s="23" t="n">
        <x:v>18</x:v>
      </x:c>
      <x:c r="B45" s="23" t="str">
        <x:v>周五</x:v>
      </x:c>
      <x:c r="C45" s="23" t="str">
        <x:v>2月28日</x:v>
      </x:c>
      <x:c r="D45" s="24" t="n">
        <x:v>6387.8</x:v>
      </x:c>
      <x:c r="E45" s="24" t="n">
        <x:v>6397</x:v>
      </x:c>
      <x:c r="F45" s="24" t="n">
        <x:v>6208</x:v>
      </x:c>
      <x:c r="G45" s="24" t="n">
        <x:v>6230.4</x:v>
      </x:c>
      <x:c r="H45" s="24"/>
      <x:c r="I45" s="25" t="n">
        <x:v>-0.028776305533904978</x:v>
      </x:c>
      <x:c r="J45" s="24" t="n">
        <x:f>ROUND(E45-F45,1)</x:f>
        <x:v>189</x:v>
      </x:c>
      <x:c r="K45" s="23" t="str">
        <x:v>IM2503</x:v>
      </x:c>
    </x:row>
    <x:row r="46">
      <x:c r="A46" s="38" t="str">
        <x:v>合计</x:v>
      </x:c>
      <x:c r="B46" s="37" t="n">
        <x:v>18</x:v>
      </x:c>
      <x:c r="C46" s="37"/>
      <x:c r="D46" s="37"/>
      <x:c r="E46" s="37"/>
      <x:c r="F46" s="37"/>
      <x:c r="G46" s="37"/>
      <x:c r="H46" s="37"/>
      <x:c r="I46" s="37"/>
      <x:c r="J46" s="39" t="n">
        <x:f>ROUND(SUM(J28:J45),1)</x:f>
        <x:v>2272.8</x:v>
      </x:c>
      <x:c r="K46" s="37"/>
    </x:row>
    <x:row r="47">
      <x:c r="A47" s="38" t="str">
        <x:v>均值</x:v>
      </x:c>
      <x:c r="B47" s="37"/>
      <x:c r="C47" s="37"/>
      <x:c r="D47" s="37"/>
      <x:c r="E47" s="37"/>
      <x:c r="F47" s="37"/>
      <x:c r="G47" s="37"/>
      <x:c r="H47" s="37"/>
      <x:c r="I47" s="37"/>
      <x:c r="J47" s="41" t="n">
        <x:f>ROUND(IFERROR(AVERAGE(J28:J45),0),1)</x:f>
        <x:v>126.3</x:v>
      </x:c>
      <x:c r="K47" s="37"/>
    </x:row>
    <x:row r="49">
      <x:c r="A49" s="17" t="str">
        <x:v>3月</x:v>
      </x:c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</x:row>
    <x:row r="50">
      <x:c r="A50" s="20" t="str">
        <x:v>序号</x:v>
      </x:c>
      <x:c r="B50" s="20" t="str">
        <x:v>星期</x:v>
      </x:c>
      <x:c r="C50" s="20" t="str">
        <x:v>日期</x:v>
      </x:c>
      <x:c r="D50" s="20" t="str">
        <x:v>开盘</x:v>
      </x:c>
      <x:c r="E50" s="20" t="str">
        <x:v>高点</x:v>
      </x:c>
      <x:c r="F50" s="20" t="str">
        <x:v>低点</x:v>
      </x:c>
      <x:c r="G50" s="20" t="str">
        <x:v>收盘</x:v>
      </x:c>
      <x:c r="H50" s="20" t="str">
        <x:v>涨跌点数</x:v>
      </x:c>
      <x:c r="I50" s="20" t="str">
        <x:v>涨幅</x:v>
      </x:c>
      <x:c r="J50" s="20" t="str">
        <x:v>振幅</x:v>
      </x:c>
      <x:c r="K50" s="20" t="str">
        <x:v>标的</x:v>
      </x:c>
    </x:row>
    <x:row r="51">
      <x:c r="A51" s="23" t="n">
        <x:v>1</x:v>
      </x:c>
      <x:c r="B51" s="23" t="str">
        <x:v>周一</x:v>
      </x:c>
      <x:c r="C51" s="23" t="str">
        <x:v>3月3日</x:v>
      </x:c>
      <x:c r="D51" s="24" t="n">
        <x:v>6250</x:v>
      </x:c>
      <x:c r="E51" s="24" t="n">
        <x:v>6324.6</x:v>
      </x:c>
      <x:c r="F51" s="24" t="n">
        <x:v>6196.4</x:v>
      </x:c>
      <x:c r="G51" s="24" t="n">
        <x:v>6215.4</x:v>
      </x:c>
      <x:c r="H51" s="24"/>
      <x:c r="I51" s="25" t="n">
        <x:v>-0.0024075500770416314</x:v>
      </x:c>
      <x:c r="J51" s="24" t="n">
        <x:f>ROUND(E51-F51,1)</x:f>
        <x:v>128.2</x:v>
      </x:c>
      <x:c r="K51" s="23" t="str">
        <x:v>IM2503</x:v>
      </x:c>
    </x:row>
    <x:row r="52">
      <x:c r="A52" s="23" t="n">
        <x:v>2</x:v>
      </x:c>
      <x:c r="B52" s="23" t="str">
        <x:v>周二</x:v>
      </x:c>
      <x:c r="C52" s="23" t="str">
        <x:v>3月4日</x:v>
      </x:c>
      <x:c r="D52" s="24" t="n">
        <x:v>6184.8</x:v>
      </x:c>
      <x:c r="E52" s="24" t="n">
        <x:v>6306</x:v>
      </x:c>
      <x:c r="F52" s="24" t="n">
        <x:v>6169</x:v>
      </x:c>
      <x:c r="G52" s="24" t="n">
        <x:v>6279.2</x:v>
      </x:c>
      <x:c r="H52" s="24"/>
      <x:c r="I52" s="25" t="n">
        <x:v>0.01026482607716317</x:v>
      </x:c>
      <x:c r="J52" s="24" t="n">
        <x:f>ROUND(E52-F52,1)</x:f>
        <x:v>137</x:v>
      </x:c>
      <x:c r="K52" s="23" t="str">
        <x:v>IM2503</x:v>
      </x:c>
    </x:row>
    <x:row r="53">
      <x:c r="A53" s="23" t="n">
        <x:v>3</x:v>
      </x:c>
      <x:c r="B53" s="23" t="str">
        <x:v>周三</x:v>
      </x:c>
      <x:c r="C53" s="23" t="str">
        <x:v>3月5日</x:v>
      </x:c>
      <x:c r="D53" s="24" t="n">
        <x:v>6285</x:v>
      </x:c>
      <x:c r="E53" s="24" t="n">
        <x:v>6329.8</x:v>
      </x:c>
      <x:c r="F53" s="24" t="n">
        <x:v>6233.2</x:v>
      </x:c>
      <x:c r="G53" s="24" t="n">
        <x:v>6313</x:v>
      </x:c>
      <x:c r="H53" s="24"/>
      <x:c r="I53" s="25" t="n">
        <x:v>0.005382851318639359</x:v>
      </x:c>
      <x:c r="J53" s="24" t="n">
        <x:f>ROUND(E53-F53,1)</x:f>
        <x:v>96.6</x:v>
      </x:c>
      <x:c r="K53" s="23" t="str">
        <x:v>IM2503</x:v>
      </x:c>
    </x:row>
    <x:row r="54">
      <x:c r="A54" s="23" t="n">
        <x:v>4</x:v>
      </x:c>
      <x:c r="B54" s="23" t="str">
        <x:v>周四</x:v>
      </x:c>
      <x:c r="C54" s="23" t="str">
        <x:v>3月6日</x:v>
      </x:c>
      <x:c r="D54" s="24" t="n">
        <x:v>6352.8</x:v>
      </x:c>
      <x:c r="E54" s="24" t="n">
        <x:v>6504.4</x:v>
      </x:c>
      <x:c r="F54" s="24" t="n">
        <x:v>6352.2</x:v>
      </x:c>
      <x:c r="G54" s="24" t="n">
        <x:v>6475.8</x:v>
      </x:c>
      <x:c r="H54" s="24"/>
      <x:c r="I54" s="25" t="n">
        <x:v>0.02578805639157289</x:v>
      </x:c>
      <x:c r="J54" s="24" t="n">
        <x:f>ROUND(E54-F54,1)</x:f>
        <x:v>152.2</x:v>
      </x:c>
      <x:c r="K54" s="23" t="str">
        <x:v>IM2503</x:v>
      </x:c>
    </x:row>
    <x:row r="55">
      <x:c r="A55" s="23" t="n">
        <x:v>5</x:v>
      </x:c>
      <x:c r="B55" s="23" t="str">
        <x:v>周五</x:v>
      </x:c>
      <x:c r="C55" s="23" t="str">
        <x:v>3月7日</x:v>
      </x:c>
      <x:c r="D55" s="24" t="n">
        <x:v>6455</x:v>
      </x:c>
      <x:c r="E55" s="24" t="n">
        <x:v>6500</x:v>
      </x:c>
      <x:c r="F55" s="24" t="n">
        <x:v>6417.8</x:v>
      </x:c>
      <x:c r="G55" s="24" t="n">
        <x:v>6452.8</x:v>
      </x:c>
      <x:c r="H55" s="24"/>
      <x:c r="I55" s="25" t="n">
        <x:v>-0.0035516847339325253</x:v>
      </x:c>
      <x:c r="J55" s="24" t="n">
        <x:f>ROUND(E55-F55,1)</x:f>
        <x:v>82.2</x:v>
      </x:c>
      <x:c r="K55" s="23" t="str">
        <x:v>IM2503</x:v>
      </x:c>
    </x:row>
    <x:row r="56">
      <x:c r="A56" s="23" t="n">
        <x:v>6</x:v>
      </x:c>
      <x:c r="B56" s="23" t="str">
        <x:v>周一</x:v>
      </x:c>
      <x:c r="C56" s="23" t="str">
        <x:v>3月10日</x:v>
      </x:c>
      <x:c r="D56" s="24" t="n">
        <x:v>6458</x:v>
      </x:c>
      <x:c r="E56" s="24" t="n">
        <x:v>6476.2</x:v>
      </x:c>
      <x:c r="F56" s="24" t="n">
        <x:v>6373.6</x:v>
      </x:c>
      <x:c r="G56" s="24" t="n">
        <x:v>6427.4</x:v>
      </x:c>
      <x:c r="H56" s="24"/>
      <x:c r="I56" s="25" t="n">
        <x:v>-0.003936275725266669</x:v>
      </x:c>
      <x:c r="J56" s="24" t="n">
        <x:f>ROUND(E56-F56,1)</x:f>
        <x:v>102.6</x:v>
      </x:c>
      <x:c r="K56" s="23" t="str">
        <x:v>IM2503</x:v>
      </x:c>
    </x:row>
    <x:row r="57">
      <x:c r="A57" s="23" t="n">
        <x:v>7</x:v>
      </x:c>
      <x:c r="B57" s="23" t="str">
        <x:v>周二</x:v>
      </x:c>
      <x:c r="C57" s="23" t="str">
        <x:v>3月11日</x:v>
      </x:c>
      <x:c r="D57" s="24" t="n">
        <x:v>6371</x:v>
      </x:c>
      <x:c r="E57" s="24" t="n">
        <x:v>6491</x:v>
      </x:c>
      <x:c r="F57" s="24" t="n">
        <x:v>6365</x:v>
      </x:c>
      <x:c r="G57" s="24" t="n">
        <x:v>6490</x:v>
      </x:c>
      <x:c r="H57" s="24"/>
      <x:c r="I57" s="25" t="n">
        <x:v>0.009739552540685148</x:v>
      </x:c>
      <x:c r="J57" s="24" t="n">
        <x:f>ROUND(E57-F57,1)</x:f>
        <x:v>126</x:v>
      </x:c>
      <x:c r="K57" s="23" t="str">
        <x:v>IM2503</x:v>
      </x:c>
    </x:row>
    <x:row r="58">
      <x:c r="A58" s="23" t="n">
        <x:v>8</x:v>
      </x:c>
      <x:c r="B58" s="23" t="str">
        <x:v>周三</x:v>
      </x:c>
      <x:c r="C58" s="23" t="str">
        <x:v>3月12日</x:v>
      </x:c>
      <x:c r="D58" s="24" t="n">
        <x:v>6525</x:v>
      </x:c>
      <x:c r="E58" s="24" t="n">
        <x:v>6587</x:v>
      </x:c>
      <x:c r="F58" s="24" t="n">
        <x:v>6482.2</x:v>
      </x:c>
      <x:c r="G58" s="24" t="n">
        <x:v>6513.8</x:v>
      </x:c>
      <x:c r="H58" s="24"/>
      <x:c r="I58" s="25" t="n">
        <x:v>0.003667180277349802</x:v>
      </x:c>
      <x:c r="J58" s="24" t="n">
        <x:f>ROUND(E58-F58,1)</x:f>
        <x:v>104.8</x:v>
      </x:c>
      <x:c r="K58" s="23" t="str">
        <x:v>IM2503</x:v>
      </x:c>
    </x:row>
    <x:row r="59">
      <x:c r="A59" s="23" t="n">
        <x:v>9</x:v>
      </x:c>
      <x:c r="B59" s="23" t="str">
        <x:v>周四</x:v>
      </x:c>
      <x:c r="C59" s="23" t="str">
        <x:v>3月13日</x:v>
      </x:c>
      <x:c r="D59" s="24" t="n">
        <x:v>6507</x:v>
      </x:c>
      <x:c r="E59" s="24" t="n">
        <x:v>6520.6</x:v>
      </x:c>
      <x:c r="F59" s="24" t="n">
        <x:v>6360.2</x:v>
      </x:c>
      <x:c r="G59" s="24" t="n">
        <x:v>6426</x:v>
      </x:c>
      <x:c r="H59" s="24"/>
      <x:c r="I59" s="25" t="n">
        <x:v>-0.013479075194203105</x:v>
      </x:c>
      <x:c r="J59" s="24" t="n">
        <x:f>ROUND(E59-F59,1)</x:f>
        <x:v>160.4</x:v>
      </x:c>
      <x:c r="K59" s="23" t="str">
        <x:v>IM2503</x:v>
      </x:c>
    </x:row>
    <x:row r="60">
      <x:c r="A60" s="23" t="n">
        <x:v>10</x:v>
      </x:c>
      <x:c r="B60" s="23" t="str">
        <x:v>周五</x:v>
      </x:c>
      <x:c r="C60" s="23" t="str">
        <x:v>3月14日</x:v>
      </x:c>
      <x:c r="D60" s="24" t="n">
        <x:v>6428.4</x:v>
      </x:c>
      <x:c r="E60" s="24" t="n">
        <x:v>6568</x:v>
      </x:c>
      <x:c r="F60" s="24" t="n">
        <x:v>6389.2</x:v>
      </x:c>
      <x:c r="G60" s="24" t="n">
        <x:v>6562.8</x:v>
      </x:c>
      <x:c r="H60" s="24"/>
      <x:c r="I60" s="25" t="n">
        <x:v>0.02128851540616239</x:v>
      </x:c>
      <x:c r="J60" s="24" t="n">
        <x:f>ROUND(E60-F60,1)</x:f>
        <x:v>178.8</x:v>
      </x:c>
      <x:c r="K60" s="23" t="str">
        <x:v>IM2503</x:v>
      </x:c>
    </x:row>
    <x:row r="61">
      <x:c r="A61" s="23" t="n">
        <x:v>11</x:v>
      </x:c>
      <x:c r="B61" s="23" t="str">
        <x:v>周一</x:v>
      </x:c>
      <x:c r="C61" s="23" t="str">
        <x:v>3月17日</x:v>
      </x:c>
      <x:c r="D61" s="24" t="n">
        <x:v>6563</x:v>
      </x:c>
      <x:c r="E61" s="24" t="n">
        <x:v>6573</x:v>
      </x:c>
      <x:c r="F61" s="24" t="n">
        <x:v>6523.2</x:v>
      </x:c>
      <x:c r="G61" s="24" t="n">
        <x:v>6543.4</x:v>
      </x:c>
      <x:c r="H61" s="24"/>
      <x:c r="I61" s="25" t="n">
        <x:v>-0.002956055342232089</x:v>
      </x:c>
      <x:c r="J61" s="24" t="n">
        <x:f>ROUND(E61-F61,1)</x:f>
        <x:v>49.8</x:v>
      </x:c>
      <x:c r="K61" s="23" t="str">
        <x:v>IM2503</x:v>
      </x:c>
    </x:row>
    <x:row r="62">
      <x:c r="A62" s="23" t="n">
        <x:v>12</x:v>
      </x:c>
      <x:c r="B62" s="23" t="str">
        <x:v>周二</x:v>
      </x:c>
      <x:c r="C62" s="23" t="str">
        <x:v>3月18日</x:v>
      </x:c>
      <x:c r="D62" s="24" t="n">
        <x:v>6566.8</x:v>
      </x:c>
      <x:c r="E62" s="24" t="n">
        <x:v>6634.4</x:v>
      </x:c>
      <x:c r="F62" s="24" t="n">
        <x:v>6555.6</x:v>
      </x:c>
      <x:c r="G62" s="24" t="n">
        <x:v>6577</x:v>
      </x:c>
      <x:c r="H62" s="24"/>
      <x:c r="I62" s="25" t="n">
        <x:v>0.005134945135556457</x:v>
      </x:c>
      <x:c r="J62" s="24" t="n">
        <x:f>ROUND(E62-F62,1)</x:f>
        <x:v>78.8</x:v>
      </x:c>
      <x:c r="K62" s="23" t="str">
        <x:v>IM2503</x:v>
      </x:c>
    </x:row>
    <x:row r="63">
      <x:c r="A63" s="23" t="n">
        <x:v>13</x:v>
      </x:c>
      <x:c r="B63" s="23" t="str">
        <x:v>周三</x:v>
      </x:c>
      <x:c r="C63" s="23" t="str">
        <x:v>3月19日</x:v>
      </x:c>
      <x:c r="D63" s="24" t="n">
        <x:v>6560</x:v>
      </x:c>
      <x:c r="E63" s="24" t="n">
        <x:v>6584</x:v>
      </x:c>
      <x:c r="F63" s="24" t="n">
        <x:v>6506</x:v>
      </x:c>
      <x:c r="G63" s="24" t="n">
        <x:v>6550</x:v>
      </x:c>
      <x:c r="H63" s="24"/>
      <x:c r="I63" s="25" t="n">
        <x:v>-0.004105215143682561</x:v>
      </x:c>
      <x:c r="J63" s="24" t="n">
        <x:f>ROUND(E63-F63,1)</x:f>
        <x:v>78</x:v>
      </x:c>
      <x:c r="K63" s="23" t="str">
        <x:v>IM2503</x:v>
      </x:c>
    </x:row>
    <x:row r="64">
      <x:c r="A64" s="23" t="n">
        <x:v>14</x:v>
      </x:c>
      <x:c r="B64" s="23" t="str">
        <x:v>周四</x:v>
      </x:c>
      <x:c r="C64" s="23" t="str">
        <x:v>3月20日</x:v>
      </x:c>
      <x:c r="D64" s="24" t="n">
        <x:v>6540</x:v>
      </x:c>
      <x:c r="E64" s="24" t="n">
        <x:v>6582.8</x:v>
      </x:c>
      <x:c r="F64" s="24" t="n">
        <x:v>6493.8</x:v>
      </x:c>
      <x:c r="G64" s="24" t="n">
        <x:v>6534.2</x:v>
      </x:c>
      <x:c r="H64" s="24"/>
      <x:c r="I64" s="25" t="n">
        <x:v>-0.037068702290076416</x:v>
      </x:c>
      <x:c r="J64" s="24" t="n">
        <x:f>ROUND(E64-F64,1)</x:f>
        <x:v>89</x:v>
      </x:c>
      <x:c r="K64" s="23" t="str">
        <x:v>IM2503</x:v>
      </x:c>
    </x:row>
    <x:row r="65">
      <x:c r="A65" s="33" t="n">
        <x:v>15</x:v>
      </x:c>
      <x:c r="B65" s="33" t="str">
        <x:v>周五</x:v>
      </x:c>
      <x:c r="C65" s="33" t="str">
        <x:v>3月21日</x:v>
      </x:c>
      <x:c r="D65" s="34" t="n">
        <x:v>6522.6</x:v>
      </x:c>
      <x:c r="E65" s="34" t="n">
        <x:v>6530.4</x:v>
      </x:c>
      <x:c r="F65" s="34" t="n">
        <x:v>6402.2</x:v>
      </x:c>
      <x:c r="G65" s="34" t="n">
        <x:v>6414.2</x:v>
      </x:c>
      <x:c r="H65" s="34"/>
      <x:c r="I65" s="35" t="n">
        <x:v>-0.02057965499746328</x:v>
      </x:c>
      <x:c r="J65" s="34" t="n">
        <x:f>ROUND(E65-F65,1)</x:f>
        <x:v>128.2</x:v>
      </x:c>
      <x:c r="K65" s="33" t="str">
        <x:v>IM2503</x:v>
      </x:c>
    </x:row>
    <x:row r="66">
      <x:c r="A66" s="23" t="n">
        <x:v>16</x:v>
      </x:c>
      <x:c r="B66" s="23" t="str">
        <x:v>周一</x:v>
      </x:c>
      <x:c r="C66" s="23" t="str">
        <x:v>3月24日</x:v>
      </x:c>
      <x:c r="D66" s="24" t="n">
        <x:v>6186.4</x:v>
      </x:c>
      <x:c r="E66" s="24" t="n">
        <x:v>6189.4</x:v>
      </x:c>
      <x:c r="F66" s="24" t="n">
        <x:v>6063</x:v>
      </x:c>
      <x:c r="G66" s="24" t="n">
        <x:v>6142.8</x:v>
      </x:c>
      <x:c r="H66" s="24"/>
      <x:c r="I66" s="25" t="n">
        <x:v>-0.005601061935441964</x:v>
      </x:c>
      <x:c r="J66" s="24" t="n">
        <x:f>ROUND(E66-F66,1)</x:f>
        <x:v>126.4</x:v>
      </x:c>
      <x:c r="K66" s="23" t="str">
        <x:v>IM2506</x:v>
      </x:c>
    </x:row>
    <x:row r="67">
      <x:c r="A67" s="23" t="n">
        <x:v>17</x:v>
      </x:c>
      <x:c r="B67" s="23" t="str">
        <x:v>周二</x:v>
      </x:c>
      <x:c r="C67" s="23" t="str">
        <x:v>3月25日</x:v>
      </x:c>
      <x:c r="D67" s="24" t="n">
        <x:v>6132.6</x:v>
      </x:c>
      <x:c r="E67" s="24" t="n">
        <x:v>6167</x:v>
      </x:c>
      <x:c r="F67" s="24" t="n">
        <x:v>6069.2</x:v>
      </x:c>
      <x:c r="G67" s="24" t="n">
        <x:v>6115.6</x:v>
      </x:c>
      <x:c r="H67" s="24"/>
      <x:c r="I67" s="25" t="n">
        <x:v>-0.004427948166959683</x:v>
      </x:c>
      <x:c r="J67" s="24" t="n">
        <x:f>ROUND(E67-F67,1)</x:f>
        <x:v>97.8</x:v>
      </x:c>
      <x:c r="K67" s="23" t="str">
        <x:v>IM2506</x:v>
      </x:c>
    </x:row>
    <x:row r="68">
      <x:c r="A68" s="23" t="n">
        <x:v>18</x:v>
      </x:c>
      <x:c r="B68" s="23" t="str">
        <x:v>周三</x:v>
      </x:c>
      <x:c r="C68" s="23" t="str">
        <x:v>3月26日</x:v>
      </x:c>
      <x:c r="D68" s="24" t="n">
        <x:v>6118</x:v>
      </x:c>
      <x:c r="E68" s="24" t="n">
        <x:v>6185</x:v>
      </x:c>
      <x:c r="F68" s="24" t="n">
        <x:v>6113</x:v>
      </x:c>
      <x:c r="G68" s="24" t="n">
        <x:v>6129.4</x:v>
      </x:c>
      <x:c r="H68" s="24"/>
      <x:c r="I68" s="25" t="n">
        <x:v>0.0022565242985150835</x:v>
      </x:c>
      <x:c r="J68" s="24" t="n">
        <x:f>ROUND(E68-F68,1)</x:f>
        <x:v>72</x:v>
      </x:c>
      <x:c r="K68" s="23" t="str">
        <x:v>IM2506</x:v>
      </x:c>
    </x:row>
    <x:row r="69">
      <x:c r="A69" s="23" t="n">
        <x:v>19</x:v>
      </x:c>
      <x:c r="B69" s="23" t="str">
        <x:v>周四</x:v>
      </x:c>
      <x:c r="C69" s="23" t="str">
        <x:v>3月27日</x:v>
      </x:c>
      <x:c r="D69" s="24" t="n">
        <x:v>6118.4</x:v>
      </x:c>
      <x:c r="E69" s="24" t="n">
        <x:v>6202.2</x:v>
      </x:c>
      <x:c r="F69" s="24" t="n">
        <x:v>6044</x:v>
      </x:c>
      <x:c r="G69" s="24" t="n">
        <x:v>6143.4</x:v>
      </x:c>
      <x:c r="H69" s="24"/>
      <x:c r="I69" s="25" t="n">
        <x:v>0.0022840734819069564</x:v>
      </x:c>
      <x:c r="J69" s="24" t="n">
        <x:f>ROUND(E69-F69,1)</x:f>
        <x:v>158.2</x:v>
      </x:c>
      <x:c r="K69" s="23" t="str">
        <x:v>IM2506</x:v>
      </x:c>
    </x:row>
    <x:row r="70">
      <x:c r="A70" s="23" t="n">
        <x:v>20</x:v>
      </x:c>
      <x:c r="B70" s="23" t="str">
        <x:v>周五</x:v>
      </x:c>
      <x:c r="C70" s="23" t="str">
        <x:v>3月28日</x:v>
      </x:c>
      <x:c r="D70" s="24" t="n">
        <x:v>6149</x:v>
      </x:c>
      <x:c r="E70" s="24" t="n">
        <x:v>6180</x:v>
      </x:c>
      <x:c r="F70" s="24" t="n">
        <x:v>6066.2</x:v>
      </x:c>
      <x:c r="G70" s="24" t="n">
        <x:v>6078.4</x:v>
      </x:c>
      <x:c r="H70" s="24"/>
      <x:c r="I70" s="25" t="n">
        <x:v>-0.010580460331412578</x:v>
      </x:c>
      <x:c r="J70" s="24" t="n">
        <x:f>ROUND(E70-F70,1)</x:f>
        <x:v>113.8</x:v>
      </x:c>
      <x:c r="K70" s="23" t="str">
        <x:v>IM2506</x:v>
      </x:c>
    </x:row>
    <x:row r="71">
      <x:c r="A71" s="23" t="n">
        <x:v>21</x:v>
      </x:c>
      <x:c r="B71" s="23" t="str">
        <x:v>周一</x:v>
      </x:c>
      <x:c r="C71" s="23" t="str">
        <x:v>3月31日</x:v>
      </x:c>
      <x:c r="D71" s="24" t="n">
        <x:v>6050.4</x:v>
      </x:c>
      <x:c r="E71" s="24" t="n">
        <x:v>6092</x:v>
      </x:c>
      <x:c r="F71" s="24" t="n">
        <x:v>5979.8</x:v>
      </x:c>
      <x:c r="G71" s="24" t="n">
        <x:v>6049</x:v>
      </x:c>
      <x:c r="H71" s="24"/>
      <x:c r="I71" s="25" t="n">
        <x:v>-0.0048367991576729885</x:v>
      </x:c>
      <x:c r="J71" s="24" t="n">
        <x:f>ROUND(E71-F71,1)</x:f>
        <x:v>112.2</x:v>
      </x:c>
      <x:c r="K71" s="23" t="str">
        <x:v>IM2506</x:v>
      </x:c>
    </x:row>
    <x:row r="72">
      <x:c r="A72" s="38" t="str">
        <x:v>合计</x:v>
      </x:c>
      <x:c r="B72" s="37" t="n">
        <x:v>21</x:v>
      </x:c>
      <x:c r="C72" s="37"/>
      <x:c r="D72" s="37"/>
      <x:c r="E72" s="37"/>
      <x:c r="F72" s="37"/>
      <x:c r="G72" s="37"/>
      <x:c r="H72" s="37"/>
      <x:c r="I72" s="37"/>
      <x:c r="J72" s="39" t="n">
        <x:f>ROUND(SUM(J51:J71),1)</x:f>
        <x:v>2373</x:v>
      </x:c>
      <x:c r="K72" s="37"/>
    </x:row>
    <x:row r="73">
      <x:c r="A73" s="38" t="str">
        <x:v>均值</x:v>
      </x:c>
      <x:c r="B73" s="37"/>
      <x:c r="C73" s="37"/>
      <x:c r="D73" s="37"/>
      <x:c r="E73" s="37"/>
      <x:c r="F73" s="37"/>
      <x:c r="G73" s="37"/>
      <x:c r="H73" s="37"/>
      <x:c r="I73" s="37"/>
      <x:c r="J73" s="41" t="n">
        <x:f>ROUND(IFERROR(AVERAGE(J51:J71),0),1)</x:f>
        <x:v>113</x:v>
      </x:c>
      <x:c r="K73" s="37"/>
    </x:row>
    <x:row r="75">
      <x:c r="A75" s="17" t="str">
        <x:v>4月</x:v>
      </x:c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</x:row>
    <x:row r="76">
      <x:c r="A76" s="20" t="str">
        <x:v>序号</x:v>
      </x:c>
      <x:c r="B76" s="20" t="str">
        <x:v>星期</x:v>
      </x:c>
      <x:c r="C76" s="20" t="str">
        <x:v>日期</x:v>
      </x:c>
      <x:c r="D76" s="20" t="str">
        <x:v>开盘</x:v>
      </x:c>
      <x:c r="E76" s="20" t="str">
        <x:v>高点</x:v>
      </x:c>
      <x:c r="F76" s="20" t="str">
        <x:v>低点</x:v>
      </x:c>
      <x:c r="G76" s="20" t="str">
        <x:v>收盘</x:v>
      </x:c>
      <x:c r="H76" s="20" t="str">
        <x:v>涨跌点数</x:v>
      </x:c>
      <x:c r="I76" s="20" t="str">
        <x:v>涨幅</x:v>
      </x:c>
      <x:c r="J76" s="20" t="str">
        <x:v>振幅</x:v>
      </x:c>
      <x:c r="K76" s="20" t="str">
        <x:v>标的</x:v>
      </x:c>
    </x:row>
    <x:row r="77">
      <x:c r="A77" s="23" t="n">
        <x:v>1</x:v>
      </x:c>
      <x:c r="B77" s="23" t="str">
        <x:v>周二</x:v>
      </x:c>
      <x:c r="C77" s="23" t="str">
        <x:v>4月1日</x:v>
      </x:c>
      <x:c r="D77" s="24" t="n">
        <x:v>6068.8</x:v>
      </x:c>
      <x:c r="E77" s="24" t="n">
        <x:v>6117.6</x:v>
      </x:c>
      <x:c r="F77" s="24" t="n">
        <x:v>6059.2</x:v>
      </x:c>
      <x:c r="G77" s="24" t="n">
        <x:v>6064.2</x:v>
      </x:c>
      <x:c r="H77" s="24"/>
      <x:c r="I77" s="25" t="n">
        <x:v>0.0025128120350470518</x:v>
      </x:c>
      <x:c r="J77" s="24" t="n">
        <x:f>ROUND(E77-F77,1)</x:f>
        <x:v>58.4</x:v>
      </x:c>
      <x:c r="K77" s="23" t="str">
        <x:v>IM2506</x:v>
      </x:c>
    </x:row>
    <x:row r="78">
      <x:c r="A78" s="23" t="n">
        <x:v>2</x:v>
      </x:c>
      <x:c r="B78" s="23" t="str">
        <x:v>周三</x:v>
      </x:c>
      <x:c r="C78" s="23" t="str">
        <x:v>4月2日</x:v>
      </x:c>
      <x:c r="D78" s="24" t="n">
        <x:v>6072.2</x:v>
      </x:c>
      <x:c r="E78" s="24" t="n">
        <x:v>6141</x:v>
      </x:c>
      <x:c r="F78" s="24" t="n">
        <x:v>6063</x:v>
      </x:c>
      <x:c r="G78" s="24" t="n">
        <x:v>6100</x:v>
      </x:c>
      <x:c r="H78" s="24"/>
      <x:c r="I78" s="25" t="n">
        <x:v>0.005903499224959585</x:v>
      </x:c>
      <x:c r="J78" s="24" t="n">
        <x:f>ROUND(E78-F78,1)</x:f>
        <x:v>78</x:v>
      </x:c>
      <x:c r="K78" s="23" t="str">
        <x:v>IM2506</x:v>
      </x:c>
    </x:row>
    <x:row r="79">
      <x:c r="A79" s="23" t="n">
        <x:v>3</x:v>
      </x:c>
      <x:c r="B79" s="23" t="str">
        <x:v>周四</x:v>
      </x:c>
      <x:c r="C79" s="23" t="str">
        <x:v>4月3日</x:v>
      </x:c>
      <x:c r="D79" s="24" t="n">
        <x:v>6069.8</x:v>
      </x:c>
      <x:c r="E79" s="24" t="n">
        <x:v>6134.8</x:v>
      </x:c>
      <x:c r="F79" s="24" t="n">
        <x:v>6000.4</x:v>
      </x:c>
      <x:c r="G79" s="24" t="n">
        <x:v>6031.8</x:v>
      </x:c>
      <x:c r="H79" s="24"/>
      <x:c r="I79" s="25" t="n">
        <x:v>-0.01118032786885248</x:v>
      </x:c>
      <x:c r="J79" s="24" t="n">
        <x:f>ROUND(E79-F79,1)</x:f>
        <x:v>134.4</x:v>
      </x:c>
      <x:c r="K79" s="23" t="str">
        <x:v>IM2506</x:v>
      </x:c>
    </x:row>
    <x:row r="80">
      <x:c r="A80" s="23" t="n">
        <x:v>4</x:v>
      </x:c>
      <x:c r="B80" s="23" t="str">
        <x:v>周一</x:v>
      </x:c>
      <x:c r="C80" s="23" t="str">
        <x:v>4月7日</x:v>
      </x:c>
      <x:c r="D80" s="24" t="n">
        <x:v>5749</x:v>
      </x:c>
      <x:c r="E80" s="24" t="n">
        <x:v>5838.8</x:v>
      </x:c>
      <x:c r="F80" s="24" t="n">
        <x:v>5432.6</x:v>
      </x:c>
      <x:c r="G80" s="24" t="n">
        <x:v>5432.6</x:v>
      </x:c>
      <x:c r="H80" s="24"/>
      <x:c r="I80" s="25" t="n">
        <x:v>-0.09934016379853439</x:v>
      </x:c>
      <x:c r="J80" s="29" t="n">
        <x:f>ROUND(E80-F80,1)</x:f>
        <x:v>406.2</x:v>
      </x:c>
      <x:c r="K80" s="23" t="str">
        <x:v>IM2506</x:v>
      </x:c>
    </x:row>
    <x:row r="81">
      <x:c r="A81" s="23" t="n">
        <x:v>5</x:v>
      </x:c>
      <x:c r="B81" s="23" t="str">
        <x:v>周二</x:v>
      </x:c>
      <x:c r="C81" s="23" t="str">
        <x:v>4月8日</x:v>
      </x:c>
      <x:c r="D81" s="24" t="n">
        <x:v>5500</x:v>
      </x:c>
      <x:c r="E81" s="24" t="n">
        <x:v>5500.2</x:v>
      </x:c>
      <x:c r="F81" s="24" t="n">
        <x:v>5202</x:v>
      </x:c>
      <x:c r="G81" s="24" t="n">
        <x:v>5313.6</x:v>
      </x:c>
      <x:c r="H81" s="24"/>
      <x:c r="I81" s="25" t="n">
        <x:v>-0.021904796966461748</x:v>
      </x:c>
      <x:c r="J81" s="29" t="n">
        <x:f>ROUND(E81-F81,1)</x:f>
        <x:v>298.2</x:v>
      </x:c>
      <x:c r="K81" s="23" t="str">
        <x:v>IM2506</x:v>
      </x:c>
    </x:row>
    <x:row r="82">
      <x:c r="A82" s="23" t="n">
        <x:v>6</x:v>
      </x:c>
      <x:c r="B82" s="23" t="str">
        <x:v>周三</x:v>
      </x:c>
      <x:c r="C82" s="23" t="str">
        <x:v>4月9日</x:v>
      </x:c>
      <x:c r="D82" s="24" t="n">
        <x:v>5202.2</x:v>
      </x:c>
      <x:c r="E82" s="24" t="n">
        <x:v>5488</x:v>
      </x:c>
      <x:c r="F82" s="24" t="n">
        <x:v>5053.2</x:v>
      </x:c>
      <x:c r="G82" s="24" t="n">
        <x:v>5429.6</x:v>
      </x:c>
      <x:c r="H82" s="24"/>
      <x:c r="I82" s="25" t="n">
        <x:v>0.02183077386329413</x:v>
      </x:c>
      <x:c r="J82" s="29" t="n">
        <x:f>ROUND(E82-F82,1)</x:f>
        <x:v>434.8</x:v>
      </x:c>
      <x:c r="K82" s="23" t="str">
        <x:v>IM2506</x:v>
      </x:c>
    </x:row>
    <x:row r="83">
      <x:c r="A83" s="23" t="n">
        <x:v>7</x:v>
      </x:c>
      <x:c r="B83" s="23" t="str">
        <x:v>周四</x:v>
      </x:c>
      <x:c r="C83" s="23" t="str">
        <x:v>4月10日</x:v>
      </x:c>
      <x:c r="D83" s="24" t="n">
        <x:v>5550.4</x:v>
      </x:c>
      <x:c r="E83" s="24" t="n">
        <x:v>5701.2</x:v>
      </x:c>
      <x:c r="F83" s="24" t="n">
        <x:v>5549</x:v>
      </x:c>
      <x:c r="G83" s="24" t="n">
        <x:v>5578.2</x:v>
      </x:c>
      <x:c r="H83" s="24"/>
      <x:c r="I83" s="25" t="n">
        <x:v>0.027368498600265134</x:v>
      </x:c>
      <x:c r="J83" s="24" t="n">
        <x:f>ROUND(E83-F83,1)</x:f>
        <x:v>152.2</x:v>
      </x:c>
      <x:c r="K83" s="23" t="str">
        <x:v>IM2506</x:v>
      </x:c>
    </x:row>
    <x:row r="84">
      <x:c r="A84" s="23" t="n">
        <x:v>8</x:v>
      </x:c>
      <x:c r="B84" s="23" t="str">
        <x:v>周五</x:v>
      </x:c>
      <x:c r="C84" s="23" t="str">
        <x:v>4月11日</x:v>
      </x:c>
      <x:c r="D84" s="24" t="n">
        <x:v>5555</x:v>
      </x:c>
      <x:c r="E84" s="24" t="n">
        <x:v>5746.6</x:v>
      </x:c>
      <x:c r="F84" s="24" t="n">
        <x:v>5545</x:v>
      </x:c>
      <x:c r="G84" s="24" t="n">
        <x:v>5672.2</x:v>
      </x:c>
      <x:c r="H84" s="24"/>
      <x:c r="I84" s="25" t="n">
        <x:v>0.01685131404395679</x:v>
      </x:c>
      <x:c r="J84" s="29" t="n">
        <x:f>ROUND(E84-F84,1)</x:f>
        <x:v>201.6</x:v>
      </x:c>
      <x:c r="K84" s="23" t="str">
        <x:v>IM2506</x:v>
      </x:c>
    </x:row>
    <x:row r="85">
      <x:c r="A85" s="23" t="n">
        <x:v>9</x:v>
      </x:c>
      <x:c r="B85" s="23" t="str">
        <x:v>周一</x:v>
      </x:c>
      <x:c r="C85" s="23" t="str">
        <x:v>4月14日</x:v>
      </x:c>
      <x:c r="D85" s="24" t="n">
        <x:v>5733</x:v>
      </x:c>
      <x:c r="E85" s="24" t="n">
        <x:v>5769.8</x:v>
      </x:c>
      <x:c r="F85" s="24" t="n">
        <x:v>5690</x:v>
      </x:c>
      <x:c r="G85" s="24" t="n">
        <x:v>5693</x:v>
      </x:c>
      <x:c r="H85" s="24"/>
      <x:c r="I85" s="25" t="n">
        <x:v>0.003667007510313569</x:v>
      </x:c>
      <x:c r="J85" s="24" t="n">
        <x:f>ROUND(E85-F85,1)</x:f>
        <x:v>79.8</x:v>
      </x:c>
      <x:c r="K85" s="23" t="str">
        <x:v>IM2506</x:v>
      </x:c>
    </x:row>
    <x:row r="86">
      <x:c r="A86" s="23" t="n">
        <x:v>10</x:v>
      </x:c>
      <x:c r="B86" s="23" t="str">
        <x:v>周二</x:v>
      </x:c>
      <x:c r="C86" s="23" t="str">
        <x:v>4月15日</x:v>
      </x:c>
      <x:c r="D86" s="24" t="n">
        <x:v>5689.8</x:v>
      </x:c>
      <x:c r="E86" s="24" t="n">
        <x:v>5722</x:v>
      </x:c>
      <x:c r="F86" s="24" t="n">
        <x:v>5637</x:v>
      </x:c>
      <x:c r="G86" s="24" t="n">
        <x:v>5680.4</x:v>
      </x:c>
      <x:c r="H86" s="24"/>
      <x:c r="I86" s="25" t="n">
        <x:v>-0.0022132443351484676</x:v>
      </x:c>
      <x:c r="J86" s="24" t="n">
        <x:f>ROUND(E86-F86,1)</x:f>
        <x:v>85</x:v>
      </x:c>
      <x:c r="K86" s="23" t="str">
        <x:v>IM2506</x:v>
      </x:c>
    </x:row>
    <x:row r="87">
      <x:c r="A87" s="23" t="n">
        <x:v>11</x:v>
      </x:c>
      <x:c r="B87" s="23" t="str">
        <x:v>周三</x:v>
      </x:c>
      <x:c r="C87" s="23" t="str">
        <x:v>4月16日</x:v>
      </x:c>
      <x:c r="D87" s="24" t="n">
        <x:v>5660</x:v>
      </x:c>
      <x:c r="E87" s="24" t="n">
        <x:v>5667.8</x:v>
      </x:c>
      <x:c r="F87" s="24" t="n">
        <x:v>5554.6</x:v>
      </x:c>
      <x:c r="G87" s="24" t="n">
        <x:v>5603</x:v>
      </x:c>
      <x:c r="H87" s="24"/>
      <x:c r="I87" s="25" t="n">
        <x:v>-0.013625800999929494</x:v>
      </x:c>
      <x:c r="J87" s="24" t="n">
        <x:f>ROUND(E87-F87,1)</x:f>
        <x:v>113.2</x:v>
      </x:c>
      <x:c r="K87" s="23" t="str">
        <x:v>IM2506</x:v>
      </x:c>
    </x:row>
    <x:row r="88">
      <x:c r="A88" s="23" t="n">
        <x:v>12</x:v>
      </x:c>
      <x:c r="B88" s="23" t="str">
        <x:v>周四</x:v>
      </x:c>
      <x:c r="C88" s="23" t="str">
        <x:v>4月17日</x:v>
      </x:c>
      <x:c r="D88" s="24" t="n">
        <x:v>5588</x:v>
      </x:c>
      <x:c r="E88" s="24" t="n">
        <x:v>5715</x:v>
      </x:c>
      <x:c r="F88" s="24" t="n">
        <x:v>5578</x:v>
      </x:c>
      <x:c r="G88" s="24" t="n">
        <x:v>5653.8</x:v>
      </x:c>
      <x:c r="H88" s="24"/>
      <x:c r="I88" s="25" t="n">
        <x:v>0.009066571479564578</x:v>
      </x:c>
      <x:c r="J88" s="24" t="n">
        <x:f>ROUND(E88-F88,1)</x:f>
        <x:v>137</x:v>
      </x:c>
      <x:c r="K88" s="23" t="str">
        <x:v>IM2506</x:v>
      </x:c>
    </x:row>
    <x:row r="89">
      <x:c r="A89" s="33" t="n">
        <x:v>13</x:v>
      </x:c>
      <x:c r="B89" s="33" t="str">
        <x:v>周五</x:v>
      </x:c>
      <x:c r="C89" s="33" t="str">
        <x:v>4月18日</x:v>
      </x:c>
      <x:c r="D89" s="34" t="n">
        <x:v>5649</x:v>
      </x:c>
      <x:c r="E89" s="34" t="n">
        <x:v>5699</x:v>
      </x:c>
      <x:c r="F89" s="34" t="n">
        <x:v>5593.8</x:v>
      </x:c>
      <x:c r="G89" s="34" t="n">
        <x:v>5642</x:v>
      </x:c>
      <x:c r="H89" s="34"/>
      <x:c r="I89" s="35" t="n">
        <x:v>-0.002087091867416624</x:v>
      </x:c>
      <x:c r="J89" s="34" t="n">
        <x:f>ROUND(E89-F89,1)</x:f>
        <x:v>105.2</x:v>
      </x:c>
      <x:c r="K89" s="33" t="str">
        <x:v>IM2506</x:v>
      </x:c>
    </x:row>
    <x:row r="90">
      <x:c r="A90" s="23" t="n">
        <x:v>14</x:v>
      </x:c>
      <x:c r="B90" s="23" t="str">
        <x:v>周一</x:v>
      </x:c>
      <x:c r="C90" s="23" t="str">
        <x:v>4月21日</x:v>
      </x:c>
      <x:c r="D90" s="24" t="n">
        <x:v>5627.6</x:v>
      </x:c>
      <x:c r="E90" s="24" t="n">
        <x:v>5783</x:v>
      </x:c>
      <x:c r="F90" s="24" t="n">
        <x:v>5603.6</x:v>
      </x:c>
      <x:c r="G90" s="24" t="n">
        <x:v>5770</x:v>
      </x:c>
      <x:c r="H90" s="24"/>
      <x:c r="I90" s="25" t="n">
        <x:v>0.02268699042892597</x:v>
      </x:c>
      <x:c r="J90" s="24" t="n">
        <x:f>ROUND(E90-F90,1)</x:f>
        <x:v>179.4</x:v>
      </x:c>
      <x:c r="K90" s="23" t="str">
        <x:v>IM2506</x:v>
      </x:c>
    </x:row>
    <x:row r="91">
      <x:c r="A91" s="23" t="n">
        <x:v>15</x:v>
      </x:c>
      <x:c r="B91" s="23" t="str">
        <x:v>周二</x:v>
      </x:c>
      <x:c r="C91" s="23" t="str">
        <x:v>4月22日</x:v>
      </x:c>
      <x:c r="D91" s="24" t="n">
        <x:v>5770.2</x:v>
      </x:c>
      <x:c r="E91" s="24" t="n">
        <x:v>5802.8</x:v>
      </x:c>
      <x:c r="F91" s="24" t="n">
        <x:v>5732.2</x:v>
      </x:c>
      <x:c r="G91" s="24" t="n">
        <x:v>5769.6</x:v>
      </x:c>
      <x:c r="H91" s="24"/>
      <x:c r="I91" s="25" t="n">
        <x:v>-0.00006932409012128105</x:v>
      </x:c>
      <x:c r="J91" s="24" t="n">
        <x:f>ROUND(E91-F91,1)</x:f>
        <x:v>70.6</x:v>
      </x:c>
      <x:c r="K91" s="23" t="str">
        <x:v>IM2506</x:v>
      </x:c>
    </x:row>
    <x:row r="92">
      <x:c r="A92" s="23" t="n">
        <x:v>16</x:v>
      </x:c>
      <x:c r="B92" s="23" t="str">
        <x:v>周三</x:v>
      </x:c>
      <x:c r="C92" s="23" t="str">
        <x:v>4月23日</x:v>
      </x:c>
      <x:c r="D92" s="24" t="n">
        <x:v>5840</x:v>
      </x:c>
      <x:c r="E92" s="24" t="n">
        <x:v>5873.2</x:v>
      </x:c>
      <x:c r="F92" s="24" t="n">
        <x:v>5791.8</x:v>
      </x:c>
      <x:c r="G92" s="24" t="n">
        <x:v>5820</x:v>
      </x:c>
      <x:c r="H92" s="24"/>
      <x:c r="I92" s="25" t="n">
        <x:v>0.008735440931780358</x:v>
      </x:c>
      <x:c r="J92" s="24" t="n">
        <x:f>ROUND(E92-F92,1)</x:f>
        <x:v>81.4</x:v>
      </x:c>
      <x:c r="K92" s="23" t="str">
        <x:v>IM2506</x:v>
      </x:c>
    </x:row>
    <x:row r="93">
      <x:c r="A93" s="23" t="n">
        <x:v>17</x:v>
      </x:c>
      <x:c r="B93" s="23" t="str">
        <x:v>周四</x:v>
      </x:c>
      <x:c r="C93" s="23" t="str">
        <x:v>4月24日</x:v>
      </x:c>
      <x:c r="D93" s="24" t="n">
        <x:v>5805</x:v>
      </x:c>
      <x:c r="E93" s="24" t="n">
        <x:v>5823</x:v>
      </x:c>
      <x:c r="F93" s="24" t="n">
        <x:v>5730.8</x:v>
      </x:c>
      <x:c r="G93" s="24" t="n">
        <x:v>5767.4</x:v>
      </x:c>
      <x:c r="H93" s="24"/>
      <x:c r="I93" s="25" t="n">
        <x:v>-0.009037800687285324</x:v>
      </x:c>
      <x:c r="J93" s="24" t="n">
        <x:f>ROUND(E93-F93,1)</x:f>
        <x:v>92.2</x:v>
      </x:c>
      <x:c r="K93" s="23" t="str">
        <x:v>IM2506</x:v>
      </x:c>
    </x:row>
    <x:row r="94">
      <x:c r="A94" s="23" t="n">
        <x:v>18</x:v>
      </x:c>
      <x:c r="B94" s="23" t="str">
        <x:v>周五</x:v>
      </x:c>
      <x:c r="C94" s="23" t="str">
        <x:v>4月25日</x:v>
      </x:c>
      <x:c r="D94" s="24" t="n">
        <x:v>5788</x:v>
      </x:c>
      <x:c r="E94" s="24" t="n">
        <x:v>5840</x:v>
      </x:c>
      <x:c r="F94" s="24" t="n">
        <x:v>5744</x:v>
      </x:c>
      <x:c r="G94" s="24" t="n">
        <x:v>5786.6</x:v>
      </x:c>
      <x:c r="H94" s="24"/>
      <x:c r="I94" s="25" t="n">
        <x:v>0.0033290564205710194</x:v>
      </x:c>
      <x:c r="J94" s="24" t="n">
        <x:f>ROUND(E94-F94,1)</x:f>
        <x:v>96</x:v>
      </x:c>
      <x:c r="K94" s="23" t="str">
        <x:v>IM2506</x:v>
      </x:c>
    </x:row>
    <x:row r="95">
      <x:c r="A95" s="23" t="n">
        <x:v>19</x:v>
      </x:c>
      <x:c r="B95" s="23" t="str">
        <x:v>周一</x:v>
      </x:c>
      <x:c r="C95" s="23" t="str">
        <x:v>4月28日</x:v>
      </x:c>
      <x:c r="D95" s="24" t="n">
        <x:v>5780</x:v>
      </x:c>
      <x:c r="E95" s="24" t="n">
        <x:v>5794.6</x:v>
      </x:c>
      <x:c r="F95" s="24" t="n">
        <x:v>5700</x:v>
      </x:c>
      <x:c r="G95" s="24" t="n">
        <x:v>5729</x:v>
      </x:c>
      <x:c r="H95" s="24"/>
      <x:c r="I95" s="25" t="n">
        <x:v>-0.009954031728476198</x:v>
      </x:c>
      <x:c r="J95" s="24" t="n">
        <x:f>ROUND(E95-F95,1)</x:f>
        <x:v>94.6</x:v>
      </x:c>
      <x:c r="K95" s="23" t="str">
        <x:v>IM2506</x:v>
      </x:c>
    </x:row>
    <x:row r="96">
      <x:c r="A96" s="23" t="n">
        <x:v>20</x:v>
      </x:c>
      <x:c r="B96" s="23" t="str">
        <x:v>周二</x:v>
      </x:c>
      <x:c r="C96" s="23" t="str">
        <x:v>4月29日</x:v>
      </x:c>
      <x:c r="D96" s="24" t="n">
        <x:v>5719</x:v>
      </x:c>
      <x:c r="E96" s="24" t="n">
        <x:v>5787.6</x:v>
      </x:c>
      <x:c r="F96" s="24" t="n">
        <x:v>5700</x:v>
      </x:c>
      <x:c r="G96" s="24" t="n">
        <x:v>5773.6</x:v>
      </x:c>
      <x:c r="H96" s="24"/>
      <x:c r="I96" s="25" t="n">
        <x:v>0.0077849537441090355</x:v>
      </x:c>
      <x:c r="J96" s="24" t="n">
        <x:f>ROUND(E96-F96,1)</x:f>
        <x:v>87.6</x:v>
      </x:c>
      <x:c r="K96" s="23" t="str">
        <x:v>IM2506</x:v>
      </x:c>
    </x:row>
    <x:row r="97">
      <x:c r="A97" s="23" t="n">
        <x:v>21</x:v>
      </x:c>
      <x:c r="B97" s="23" t="str">
        <x:v>周三</x:v>
      </x:c>
      <x:c r="C97" s="23" t="str">
        <x:v>4月30日</x:v>
      </x:c>
      <x:c r="D97" s="24" t="n">
        <x:v>5785</x:v>
      </x:c>
      <x:c r="E97" s="24" t="n">
        <x:v>5833</x:v>
      </x:c>
      <x:c r="F97" s="24" t="n">
        <x:v>5775</x:v>
      </x:c>
      <x:c r="G97" s="24" t="n">
        <x:v>5801.4</x:v>
      </x:c>
      <x:c r="H97" s="24"/>
      <x:c r="I97" s="25" t="n">
        <x:v>0.004815020091450517</x:v>
      </x:c>
      <x:c r="J97" s="24" t="n">
        <x:f>ROUND(E97-F97,1)</x:f>
        <x:v>58</x:v>
      </x:c>
      <x:c r="K97" s="23" t="str">
        <x:v>IM2506</x:v>
      </x:c>
    </x:row>
    <x:row r="98">
      <x:c r="A98" s="38" t="str">
        <x:v>合计</x:v>
      </x:c>
      <x:c r="B98" s="37" t="n">
        <x:v>21</x:v>
      </x:c>
      <x:c r="C98" s="37"/>
      <x:c r="D98" s="37"/>
      <x:c r="E98" s="37"/>
      <x:c r="F98" s="37"/>
      <x:c r="G98" s="37"/>
      <x:c r="H98" s="37"/>
      <x:c r="I98" s="37"/>
      <x:c r="J98" s="39" t="n">
        <x:f>ROUND(SUM(J77:J97),1)</x:f>
        <x:v>3043.8</x:v>
      </x:c>
      <x:c r="K98" s="37"/>
    </x:row>
    <x:row r="99">
      <x:c r="A99" s="38" t="str">
        <x:v>均值</x:v>
      </x:c>
      <x:c r="B99" s="37"/>
      <x:c r="C99" s="37"/>
      <x:c r="D99" s="37"/>
      <x:c r="E99" s="37"/>
      <x:c r="F99" s="37"/>
      <x:c r="G99" s="37"/>
      <x:c r="H99" s="37"/>
      <x:c r="I99" s="37"/>
      <x:c r="J99" s="41" t="n">
        <x:f>ROUND(IFERROR(AVERAGE(J77:J97),0),1)</x:f>
        <x:v>144.9</x:v>
      </x:c>
      <x:c r="K99" s="37"/>
    </x:row>
    <x:row r="101">
      <x:c r="A101" s="17" t="str">
        <x:v>5月</x:v>
      </x:c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</x:row>
    <x:row r="102">
      <x:c r="A102" s="20" t="str">
        <x:v>序号</x:v>
      </x:c>
      <x:c r="B102" s="20" t="str">
        <x:v>星期</x:v>
      </x:c>
      <x:c r="C102" s="20" t="str">
        <x:v>日期</x:v>
      </x:c>
      <x:c r="D102" s="20" t="str">
        <x:v>开盘</x:v>
      </x:c>
      <x:c r="E102" s="20" t="str">
        <x:v>高点</x:v>
      </x:c>
      <x:c r="F102" s="20" t="str">
        <x:v>低点</x:v>
      </x:c>
      <x:c r="G102" s="20" t="str">
        <x:v>收盘</x:v>
      </x:c>
      <x:c r="H102" s="20" t="str">
        <x:v>涨跌点数</x:v>
      </x:c>
      <x:c r="I102" s="20" t="str">
        <x:v>涨幅</x:v>
      </x:c>
      <x:c r="J102" s="20" t="str">
        <x:v>振幅</x:v>
      </x:c>
      <x:c r="K102" s="20" t="str">
        <x:v>标的</x:v>
      </x:c>
    </x:row>
    <x:row r="103">
      <x:c r="A103" s="23" t="n">
        <x:v>1</x:v>
      </x:c>
      <x:c r="B103" s="23" t="str">
        <x:v>周二</x:v>
      </x:c>
      <x:c r="C103" s="23" t="str">
        <x:v>5月6日</x:v>
      </x:c>
      <x:c r="D103" s="24" t="n">
        <x:v>5855</x:v>
      </x:c>
      <x:c r="E103" s="24" t="n">
        <x:v>5955</x:v>
      </x:c>
      <x:c r="F103" s="24" t="n">
        <x:v>5852</x:v>
      </x:c>
      <x:c r="G103" s="24" t="n">
        <x:v>5953.2</x:v>
      </x:c>
      <x:c r="H103" s="24"/>
      <x:c r="I103" s="25" t="n">
        <x:v>0.026166097838452806</x:v>
      </x:c>
      <x:c r="J103" s="24" t="n">
        <x:f>ROUND(E103-F103,1)</x:f>
        <x:v>103</x:v>
      </x:c>
      <x:c r="K103" s="23" t="str">
        <x:v>IM2506</x:v>
      </x:c>
    </x:row>
    <x:row r="104">
      <x:c r="A104" s="23" t="n">
        <x:v>2</x:v>
      </x:c>
      <x:c r="B104" s="23" t="str">
        <x:v>周三</x:v>
      </x:c>
      <x:c r="C104" s="23" t="str">
        <x:v>5月7日</x:v>
      </x:c>
      <x:c r="D104" s="24" t="n">
        <x:v>6015</x:v>
      </x:c>
      <x:c r="E104" s="24" t="n">
        <x:v>6090</x:v>
      </x:c>
      <x:c r="F104" s="24" t="n">
        <x:v>5920.4</x:v>
      </x:c>
      <x:c r="G104" s="24" t="n">
        <x:v>5955.2</x:v>
      </x:c>
      <x:c r="H104" s="24"/>
      <x:c r="I104" s="25" t="n">
        <x:v>0.0003359537727609663</x:v>
      </x:c>
      <x:c r="J104" s="24" t="n">
        <x:f>ROUND(E104-F104,1)</x:f>
        <x:v>169.6</x:v>
      </x:c>
      <x:c r="K104" s="23" t="str">
        <x:v>IM2506</x:v>
      </x:c>
    </x:row>
    <x:row r="105">
      <x:c r="A105" s="23" t="n">
        <x:v>3</x:v>
      </x:c>
      <x:c r="B105" s="23" t="str">
        <x:v>周四</x:v>
      </x:c>
      <x:c r="C105" s="23" t="str">
        <x:v>5月8日</x:v>
      </x:c>
      <x:c r="D105" s="24" t="n">
        <x:v>5945</x:v>
      </x:c>
      <x:c r="E105" s="24" t="n">
        <x:v>6042.8</x:v>
      </x:c>
      <x:c r="F105" s="24" t="n">
        <x:v>5945</x:v>
      </x:c>
      <x:c r="G105" s="24" t="n">
        <x:v>6018.8</x:v>
      </x:c>
      <x:c r="H105" s="24"/>
      <x:c r="I105" s="25" t="n">
        <x:v>0.010679742074153786</x:v>
      </x:c>
      <x:c r="J105" s="24" t="n">
        <x:f>ROUND(E105-F105,1)</x:f>
        <x:v>97.8</x:v>
      </x:c>
      <x:c r="K105" s="23" t="str">
        <x:v>IM2506</x:v>
      </x:c>
    </x:row>
    <x:row r="106">
      <x:c r="A106" s="23" t="n">
        <x:v>4</x:v>
      </x:c>
      <x:c r="B106" s="23" t="str">
        <x:v>周五</x:v>
      </x:c>
      <x:c r="C106" s="23" t="str">
        <x:v>5月9日</x:v>
      </x:c>
      <x:c r="D106" s="24" t="n">
        <x:v>6012.8</x:v>
      </x:c>
      <x:c r="E106" s="24" t="n">
        <x:v>6012.8</x:v>
      </x:c>
      <x:c r="F106" s="24" t="n">
        <x:v>5911.6</x:v>
      </x:c>
      <x:c r="G106" s="24" t="n">
        <x:v>5945.2</x:v>
      </x:c>
      <x:c r="H106" s="24"/>
      <x:c r="I106" s="25" t="n">
        <x:v>-0.012228351166345464</x:v>
      </x:c>
      <x:c r="J106" s="24" t="n">
        <x:f>ROUND(E106-F106,1)</x:f>
        <x:v>101.2</x:v>
      </x:c>
      <x:c r="K106" s="23" t="str">
        <x:v>IM2506</x:v>
      </x:c>
    </x:row>
    <x:row r="107">
      <x:c r="A107" s="23" t="n">
        <x:v>5</x:v>
      </x:c>
      <x:c r="B107" s="23" t="str">
        <x:v>周一</x:v>
      </x:c>
      <x:c r="C107" s="23" t="str">
        <x:v>5月12日</x:v>
      </x:c>
      <x:c r="D107" s="24" t="n">
        <x:v>6002</x:v>
      </x:c>
      <x:c r="E107" s="24" t="n">
        <x:v>6039</x:v>
      </x:c>
      <x:c r="F107" s="24" t="n">
        <x:v>5975.2</x:v>
      </x:c>
      <x:c r="G107" s="24" t="n">
        <x:v>6037</x:v>
      </x:c>
      <x:c r="H107" s="24"/>
      <x:c r="I107" s="25" t="n">
        <x:v>0.015441028056247141</x:v>
      </x:c>
      <x:c r="J107" s="24" t="n">
        <x:f>ROUND(E107-F107,1)</x:f>
        <x:v>63.8</x:v>
      </x:c>
      <x:c r="K107" s="23" t="str">
        <x:v>IM2506</x:v>
      </x:c>
    </x:row>
    <x:row r="108">
      <x:c r="A108" s="23" t="n">
        <x:v>6</x:v>
      </x:c>
      <x:c r="B108" s="23" t="str">
        <x:v>周二</x:v>
      </x:c>
      <x:c r="C108" s="23" t="str">
        <x:v>5月13日</x:v>
      </x:c>
      <x:c r="D108" s="24" t="n">
        <x:v>6075.4</x:v>
      </x:c>
      <x:c r="E108" s="24" t="n">
        <x:v>6079.6</x:v>
      </x:c>
      <x:c r="F108" s="24" t="n">
        <x:v>5981</x:v>
      </x:c>
      <x:c r="G108" s="24" t="n">
        <x:v>5996.6</x:v>
      </x:c>
      <x:c r="H108" s="24"/>
      <x:c r="I108" s="25" t="n">
        <x:v>-0.006692065595494401</x:v>
      </x:c>
      <x:c r="J108" s="24" t="n">
        <x:f>ROUND(E108-F108,1)</x:f>
        <x:v>98.6</x:v>
      </x:c>
      <x:c r="K108" s="23" t="str">
        <x:v>IM2506</x:v>
      </x:c>
    </x:row>
    <x:row r="109">
      <x:c r="A109" s="23" t="n">
        <x:v>7</x:v>
      </x:c>
      <x:c r="B109" s="23" t="str">
        <x:v>周三</x:v>
      </x:c>
      <x:c r="C109" s="23" t="str">
        <x:v>5月14日</x:v>
      </x:c>
      <x:c r="D109" s="24" t="n">
        <x:v>6010.2</x:v>
      </x:c>
      <x:c r="E109" s="24" t="n">
        <x:v>6101.8</x:v>
      </x:c>
      <x:c r="F109" s="24" t="n">
        <x:v>5973.6</x:v>
      </x:c>
      <x:c r="G109" s="24" t="n">
        <x:v>6043</x:v>
      </x:c>
      <x:c r="H109" s="24"/>
      <x:c r="I109" s="25" t="n">
        <x:v>0.007737718040222719</x:v>
      </x:c>
      <x:c r="J109" s="24" t="n">
        <x:f>ROUND(E109-F109,1)</x:f>
        <x:v>128.2</x:v>
      </x:c>
      <x:c r="K109" s="23" t="str">
        <x:v>IM2506</x:v>
      </x:c>
    </x:row>
    <x:row r="110">
      <x:c r="A110" s="23" t="n">
        <x:v>8</x:v>
      </x:c>
      <x:c r="B110" s="23" t="str">
        <x:v>周四</x:v>
      </x:c>
      <x:c r="C110" s="23" t="str">
        <x:v>5月15日</x:v>
      </x:c>
      <x:c r="D110" s="24" t="n">
        <x:v>6026.2</x:v>
      </x:c>
      <x:c r="E110" s="24" t="n">
        <x:v>6029.8</x:v>
      </x:c>
      <x:c r="F110" s="24" t="n">
        <x:v>5924.4</x:v>
      </x:c>
      <x:c r="G110" s="24" t="n">
        <x:v>5949</x:v>
      </x:c>
      <x:c r="H110" s="24"/>
      <x:c r="I110" s="25" t="n">
        <x:v>-0.015555187820618932</x:v>
      </x:c>
      <x:c r="J110" s="24" t="n">
        <x:f>ROUND(E110-F110,1)</x:f>
        <x:v>105.4</x:v>
      </x:c>
      <x:c r="K110" s="23" t="str">
        <x:v>IM2506</x:v>
      </x:c>
    </x:row>
    <x:row r="111">
      <x:c r="A111" s="33" t="n">
        <x:v>9</x:v>
      </x:c>
      <x:c r="B111" s="33" t="str">
        <x:v>周五</x:v>
      </x:c>
      <x:c r="C111" s="33" t="str">
        <x:v>5月16日</x:v>
      </x:c>
      <x:c r="D111" s="34" t="n">
        <x:v>5939.2</x:v>
      </x:c>
      <x:c r="E111" s="34" t="n">
        <x:v>5992.2</x:v>
      </x:c>
      <x:c r="F111" s="34" t="n">
        <x:v>5933.2</x:v>
      </x:c>
      <x:c r="G111" s="34" t="n">
        <x:v>5933.8</x:v>
      </x:c>
      <x:c r="H111" s="34"/>
      <x:c r="I111" s="35" t="n">
        <x:v>-0.0025550512691208116</x:v>
      </x:c>
      <x:c r="J111" s="34" t="n">
        <x:f>ROUND(E111-F111,1)</x:f>
        <x:v>59</x:v>
      </x:c>
      <x:c r="K111" s="33" t="str">
        <x:v>IM2506</x:v>
      </x:c>
    </x:row>
    <x:row r="112">
      <x:c r="A112" s="23" t="n">
        <x:v>10</x:v>
      </x:c>
      <x:c r="B112" s="23" t="str">
        <x:v>周一</x:v>
      </x:c>
      <x:c r="C112" s="23" t="str">
        <x:v>5月19日</x:v>
      </x:c>
      <x:c r="D112" s="24" t="n">
        <x:v>5940</x:v>
      </x:c>
      <x:c r="E112" s="24" t="n">
        <x:v>5976.8</x:v>
      </x:c>
      <x:c r="F112" s="24" t="n">
        <x:v>5870.2</x:v>
      </x:c>
      <x:c r="G112" s="24" t="n">
        <x:v>5975.4</x:v>
      </x:c>
      <x:c r="H112" s="24"/>
      <x:c r="I112" s="25" t="n">
        <x:v>0.007010684552900326</x:v>
      </x:c>
      <x:c r="J112" s="24" t="n">
        <x:f>ROUND(E112-F112,1)</x:f>
        <x:v>106.6</x:v>
      </x:c>
      <x:c r="K112" s="23" t="str">
        <x:v>IM2506</x:v>
      </x:c>
    </x:row>
    <x:row r="113">
      <x:c r="A113" s="23" t="n">
        <x:v>11</x:v>
      </x:c>
      <x:c r="B113" s="23" t="str">
        <x:v>周二</x:v>
      </x:c>
      <x:c r="C113" s="23" t="str">
        <x:v>5月20日</x:v>
      </x:c>
      <x:c r="D113" s="24" t="n">
        <x:v>5984</x:v>
      </x:c>
      <x:c r="E113" s="24" t="n">
        <x:v>6028</x:v>
      </x:c>
      <x:c r="F113" s="24" t="n">
        <x:v>5943</x:v>
      </x:c>
      <x:c r="G113" s="24" t="n">
        <x:v>6019.4</x:v>
      </x:c>
      <x:c r="H113" s="24"/>
      <x:c r="I113" s="25" t="n">
        <x:v>0.007363523780834713</x:v>
      </x:c>
      <x:c r="J113" s="24" t="n">
        <x:f>ROUND(E113-F113,1)</x:f>
        <x:v>85</x:v>
      </x:c>
      <x:c r="K113" s="23" t="str">
        <x:v>IM2506</x:v>
      </x:c>
    </x:row>
    <x:row r="114">
      <x:c r="A114" s="23" t="n">
        <x:v>12</x:v>
      </x:c>
      <x:c r="B114" s="23" t="str">
        <x:v>周三</x:v>
      </x:c>
      <x:c r="C114" s="23" t="str">
        <x:v>5月21日</x:v>
      </x:c>
      <x:c r="D114" s="24" t="n">
        <x:v>6009</x:v>
      </x:c>
      <x:c r="E114" s="24" t="n">
        <x:v>6018</x:v>
      </x:c>
      <x:c r="F114" s="24" t="n">
        <x:v>5974</x:v>
      </x:c>
      <x:c r="G114" s="24" t="n">
        <x:v>6000.6</x:v>
      </x:c>
      <x:c r="H114" s="24"/>
      <x:c r="I114" s="25" t="n">
        <x:v>-0.003123234873907532</x:v>
      </x:c>
      <x:c r="J114" s="24" t="n">
        <x:f>ROUND(E114-F114,1)</x:f>
        <x:v>44</x:v>
      </x:c>
      <x:c r="K114" s="23" t="str">
        <x:v>IM2506</x:v>
      </x:c>
    </x:row>
    <x:row r="115">
      <x:c r="A115" s="23" t="n">
        <x:v>13</x:v>
      </x:c>
      <x:c r="B115" s="23" t="str">
        <x:v>周四</x:v>
      </x:c>
      <x:c r="C115" s="23" t="str">
        <x:v>5月22日</x:v>
      </x:c>
      <x:c r="D115" s="24" t="n">
        <x:v>5986</x:v>
      </x:c>
      <x:c r="E115" s="24" t="n">
        <x:v>6037.8</x:v>
      </x:c>
      <x:c r="F115" s="24" t="n">
        <x:v>5930</x:v>
      </x:c>
      <x:c r="G115" s="24" t="n">
        <x:v>5950</x:v>
      </x:c>
      <x:c r="H115" s="24"/>
      <x:c r="I115" s="25" t="n">
        <x:v>-0.008432490084325006</x:v>
      </x:c>
      <x:c r="J115" s="24" t="n">
        <x:f>ROUND(E115-F115,1)</x:f>
        <x:v>107.8</x:v>
      </x:c>
      <x:c r="K115" s="23" t="str">
        <x:v>IM2506</x:v>
      </x:c>
    </x:row>
    <x:row r="116">
      <x:c r="A116" s="23" t="n">
        <x:v>14</x:v>
      </x:c>
      <x:c r="B116" s="23" t="str">
        <x:v>周五</x:v>
      </x:c>
      <x:c r="C116" s="23" t="str">
        <x:v>5月23日</x:v>
      </x:c>
      <x:c r="D116" s="24" t="n">
        <x:v>5949</x:v>
      </x:c>
      <x:c r="E116" s="24" t="n">
        <x:v>5998</x:v>
      </x:c>
      <x:c r="F116" s="24" t="n">
        <x:v>5871</x:v>
      </x:c>
      <x:c r="G116" s="24" t="n">
        <x:v>5872</x:v>
      </x:c>
      <x:c r="H116" s="24"/>
      <x:c r="I116" s="25" t="n">
        <x:v>-0.013109243697479012</x:v>
      </x:c>
      <x:c r="J116" s="24" t="n">
        <x:f>ROUND(E116-F116,1)</x:f>
        <x:v>127</x:v>
      </x:c>
      <x:c r="K116" s="23" t="str">
        <x:v>IM2506</x:v>
      </x:c>
    </x:row>
    <x:row r="117">
      <x:c r="A117" s="23" t="n">
        <x:v>15</x:v>
      </x:c>
      <x:c r="B117" s="23" t="str">
        <x:v>周一</x:v>
      </x:c>
      <x:c r="C117" s="23" t="str">
        <x:v>5月26日</x:v>
      </x:c>
      <x:c r="D117" s="24" t="n">
        <x:v>5880</x:v>
      </x:c>
      <x:c r="E117" s="24" t="n">
        <x:v>5941.4</x:v>
      </x:c>
      <x:c r="F117" s="24" t="n">
        <x:v>5871</x:v>
      </x:c>
      <x:c r="G117" s="24" t="n">
        <x:v>5925</x:v>
      </x:c>
      <x:c r="H117" s="24"/>
      <x:c r="I117" s="25" t="n">
        <x:v>0.009025885558583191</x:v>
      </x:c>
      <x:c r="J117" s="24" t="n">
        <x:f>ROUND(E117-F117,1)</x:f>
        <x:v>70.4</x:v>
      </x:c>
      <x:c r="K117" s="23" t="str">
        <x:v>IM2506</x:v>
      </x:c>
    </x:row>
    <x:row r="118">
      <x:c r="A118" s="23" t="n">
        <x:v>16</x:v>
      </x:c>
      <x:c r="B118" s="23" t="str">
        <x:v>周二</x:v>
      </x:c>
      <x:c r="C118" s="23" t="str">
        <x:v>5月27日</x:v>
      </x:c>
      <x:c r="D118" s="24" t="n">
        <x:v>5918</x:v>
      </x:c>
      <x:c r="E118" s="24" t="n">
        <x:v>5936</x:v>
      </x:c>
      <x:c r="F118" s="24" t="n">
        <x:v>5861.2</x:v>
      </x:c>
      <x:c r="G118" s="24" t="n">
        <x:v>5915</x:v>
      </x:c>
      <x:c r="H118" s="24"/>
      <x:c r="I118" s="25" t="n">
        <x:v>-0.0016877637130802148</x:v>
      </x:c>
      <x:c r="J118" s="24" t="n">
        <x:f>ROUND(E118-F118,1)</x:f>
        <x:v>74.8</x:v>
      </x:c>
      <x:c r="K118" s="23" t="str">
        <x:v>IM2506</x:v>
      </x:c>
    </x:row>
    <x:row r="119">
      <x:c r="A119" s="23" t="n">
        <x:v>17</x:v>
      </x:c>
      <x:c r="B119" s="23" t="str">
        <x:v>周三</x:v>
      </x:c>
      <x:c r="C119" s="23" t="str">
        <x:v>5月28日</x:v>
      </x:c>
      <x:c r="D119" s="24" t="n">
        <x:v>5925</x:v>
      </x:c>
      <x:c r="E119" s="24" t="n">
        <x:v>5944.8</x:v>
      </x:c>
      <x:c r="F119" s="24" t="n">
        <x:v>5873.6</x:v>
      </x:c>
      <x:c r="G119" s="24" t="n">
        <x:v>5899</x:v>
      </x:c>
      <x:c r="H119" s="24"/>
      <x:c r="I119" s="25" t="n">
        <x:v>-0.0027049873203719432</x:v>
      </x:c>
      <x:c r="J119" s="24" t="n">
        <x:f>ROUND(E119-F119,1)</x:f>
        <x:v>71.2</x:v>
      </x:c>
      <x:c r="K119" s="23" t="str">
        <x:v>IM2506</x:v>
      </x:c>
    </x:row>
    <x:row r="120">
      <x:c r="A120" s="23" t="n">
        <x:v>18</x:v>
      </x:c>
      <x:c r="B120" s="23" t="str">
        <x:v>周四</x:v>
      </x:c>
      <x:c r="C120" s="23" t="str">
        <x:v>5月29日</x:v>
      </x:c>
      <x:c r="D120" s="24" t="n">
        <x:v>5914.8</x:v>
      </x:c>
      <x:c r="E120" s="24" t="n">
        <x:v>6031.4</x:v>
      </x:c>
      <x:c r="F120" s="24" t="n">
        <x:v>5906</x:v>
      </x:c>
      <x:c r="G120" s="24" t="n">
        <x:v>6031</x:v>
      </x:c>
      <x:c r="H120" s="24"/>
      <x:c r="I120" s="25" t="n">
        <x:v>0.022376674012544395</x:v>
      </x:c>
      <x:c r="J120" s="24" t="n">
        <x:f>ROUND(E120-F120,1)</x:f>
        <x:v>125.4</x:v>
      </x:c>
      <x:c r="K120" s="23" t="str">
        <x:v>IM2506</x:v>
      </x:c>
    </x:row>
    <x:row r="121">
      <x:c r="A121" s="23" t="n">
        <x:v>19</x:v>
      </x:c>
      <x:c r="B121" s="23" t="str">
        <x:v>周五</x:v>
      </x:c>
      <x:c r="C121" s="23" t="str">
        <x:v>5月30日</x:v>
      </x:c>
      <x:c r="D121" s="24" t="n">
        <x:v>6001.2</x:v>
      </x:c>
      <x:c r="E121" s="24" t="n">
        <x:v>6004.2</x:v>
      </x:c>
      <x:c r="F121" s="24" t="n">
        <x:v>5932</x:v>
      </x:c>
      <x:c r="G121" s="24" t="n">
        <x:v>5966</x:v>
      </x:c>
      <x:c r="H121" s="24"/>
      <x:c r="I121" s="25" t="n">
        <x:v>-0.01077764881445864</x:v>
      </x:c>
      <x:c r="J121" s="24" t="n">
        <x:f>ROUND(E121-F121,1)</x:f>
        <x:v>72.2</x:v>
      </x:c>
      <x:c r="K121" s="23" t="str">
        <x:v>IM2506</x:v>
      </x:c>
    </x:row>
    <x:row r="122">
      <x:c r="A122" s="38" t="str">
        <x:v>合计</x:v>
      </x:c>
      <x:c r="B122" s="37" t="n">
        <x:v>19</x:v>
      </x:c>
      <x:c r="C122" s="37"/>
      <x:c r="D122" s="37"/>
      <x:c r="E122" s="37"/>
      <x:c r="F122" s="37"/>
      <x:c r="G122" s="37"/>
      <x:c r="H122" s="37"/>
      <x:c r="I122" s="37"/>
      <x:c r="J122" s="39" t="n">
        <x:f>ROUND(SUM(J103:J121),1)</x:f>
        <x:v>1811</x:v>
      </x:c>
      <x:c r="K122" s="37"/>
    </x:row>
    <x:row r="123">
      <x:c r="A123" s="38" t="str">
        <x:v>均值</x:v>
      </x:c>
      <x:c r="B123" s="37"/>
      <x:c r="C123" s="37"/>
      <x:c r="D123" s="37"/>
      <x:c r="E123" s="37"/>
      <x:c r="F123" s="37"/>
      <x:c r="G123" s="37"/>
      <x:c r="H123" s="37"/>
      <x:c r="I123" s="37"/>
      <x:c r="J123" s="41" t="n">
        <x:f>ROUND(IFERROR(AVERAGE(J103:J121),0),1)</x:f>
        <x:v>95.3</x:v>
      </x:c>
      <x:c r="K123" s="37"/>
    </x:row>
    <x:row r="125">
      <x:c r="A125" s="17" t="str">
        <x:v>6月</x:v>
      </x:c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</x:row>
    <x:row r="126">
      <x:c r="A126" s="20" t="str">
        <x:v>序号</x:v>
      </x:c>
      <x:c r="B126" s="20" t="str">
        <x:v>星期</x:v>
      </x:c>
      <x:c r="C126" s="20" t="str">
        <x:v>日期</x:v>
      </x:c>
      <x:c r="D126" s="20" t="str">
        <x:v>开盘</x:v>
      </x:c>
      <x:c r="E126" s="20" t="str">
        <x:v>高点</x:v>
      </x:c>
      <x:c r="F126" s="20" t="str">
        <x:v>低点</x:v>
      </x:c>
      <x:c r="G126" s="20" t="str">
        <x:v>收盘</x:v>
      </x:c>
      <x:c r="H126" s="20" t="str">
        <x:v>涨跌点数</x:v>
      </x:c>
      <x:c r="I126" s="20" t="str">
        <x:v>涨幅</x:v>
      </x:c>
      <x:c r="J126" s="20" t="str">
        <x:v>振幅</x:v>
      </x:c>
      <x:c r="K126" s="20" t="str">
        <x:v>标的</x:v>
      </x:c>
    </x:row>
    <x:row r="127">
      <x:c r="A127" s="23" t="n">
        <x:v>1</x:v>
      </x:c>
      <x:c r="B127" s="23" t="str">
        <x:v>周二</x:v>
      </x:c>
      <x:c r="C127" s="23" t="str">
        <x:v>6月3日</x:v>
      </x:c>
      <x:c r="D127" s="24" t="n">
        <x:v>5951</x:v>
      </x:c>
      <x:c r="E127" s="24" t="n">
        <x:v>6027</x:v>
      </x:c>
      <x:c r="F127" s="24" t="n">
        <x:v>5940.8</x:v>
      </x:c>
      <x:c r="G127" s="24" t="n">
        <x:v>5998</x:v>
      </x:c>
      <x:c r="H127" s="24"/>
      <x:c r="I127" s="25" t="n">
        <x:v>0.00536372779081451</x:v>
      </x:c>
      <x:c r="J127" s="24" t="n">
        <x:f>ROUND(E127-F127,1)</x:f>
        <x:v>86.2</x:v>
      </x:c>
      <x:c r="K127" s="23" t="str">
        <x:v>IM2506</x:v>
      </x:c>
    </x:row>
    <x:row r="128">
      <x:c r="A128" s="23" t="n">
        <x:v>2</x:v>
      </x:c>
      <x:c r="B128" s="23" t="str">
        <x:v>周三</x:v>
      </x:c>
      <x:c r="C128" s="23" t="str">
        <x:v>6月4日</x:v>
      </x:c>
      <x:c r="D128" s="24" t="n">
        <x:v>6007.6</x:v>
      </x:c>
      <x:c r="E128" s="24" t="n">
        <x:v>6067</x:v>
      </x:c>
      <x:c r="F128" s="24" t="n">
        <x:v>5992</x:v>
      </x:c>
      <x:c r="G128" s="24" t="n">
        <x:v>6054</x:v>
      </x:c>
      <x:c r="H128" s="24"/>
      <x:c r="I128" s="25" t="n">
        <x:v>0.009336445481827216</x:v>
      </x:c>
      <x:c r="J128" s="24" t="n">
        <x:f>ROUND(E128-F128,1)</x:f>
        <x:v>75</x:v>
      </x:c>
      <x:c r="K128" s="23" t="str">
        <x:v>IM2506</x:v>
      </x:c>
    </x:row>
    <x:row r="129">
      <x:c r="A129" s="23" t="n">
        <x:v>3</x:v>
      </x:c>
      <x:c r="B129" s="23" t="str">
        <x:v>周四</x:v>
      </x:c>
      <x:c r="C129" s="23" t="str">
        <x:v>6月5日</x:v>
      </x:c>
      <x:c r="D129" s="24" t="n">
        <x:v>6060</x:v>
      </x:c>
      <x:c r="E129" s="24" t="n">
        <x:v>6119</x:v>
      </x:c>
      <x:c r="F129" s="24" t="n">
        <x:v>6030</x:v>
      </x:c>
      <x:c r="G129" s="24" t="n">
        <x:v>6101.6</x:v>
      </x:c>
      <x:c r="H129" s="24"/>
      <x:c r="I129" s="25" t="n">
        <x:v>0.007862570201519814</x:v>
      </x:c>
      <x:c r="J129" s="24" t="n">
        <x:f>ROUND(E129-F129,1)</x:f>
        <x:v>89</x:v>
      </x:c>
      <x:c r="K129" s="23" t="str">
        <x:v>IM2506</x:v>
      </x:c>
    </x:row>
    <x:row r="130">
      <x:c r="A130" s="23" t="n">
        <x:v>4</x:v>
      </x:c>
      <x:c r="B130" s="23" t="str">
        <x:v>周五</x:v>
      </x:c>
      <x:c r="C130" s="23" t="str">
        <x:v>6月6日</x:v>
      </x:c>
      <x:c r="D130" s="24" t="n">
        <x:v>6095</x:v>
      </x:c>
      <x:c r="E130" s="24" t="n">
        <x:v>6114.6</x:v>
      </x:c>
      <x:c r="F130" s="24" t="n">
        <x:v>6077.2</x:v>
      </x:c>
      <x:c r="G130" s="24" t="n">
        <x:v>6100.2</x:v>
      </x:c>
      <x:c r="H130" s="24"/>
      <x:c r="I130" s="25" t="n">
        <x:v>-0.00022944801363589118</x:v>
      </x:c>
      <x:c r="J130" s="24" t="n">
        <x:f>ROUND(E130-F130,1)</x:f>
        <x:v>37.4</x:v>
      </x:c>
      <x:c r="K130" s="23" t="str">
        <x:v>IM2506</x:v>
      </x:c>
    </x:row>
    <x:row r="131">
      <x:c r="A131" s="23" t="n">
        <x:v>5</x:v>
      </x:c>
      <x:c r="B131" s="23" t="str">
        <x:v>周一</x:v>
      </x:c>
      <x:c r="C131" s="23" t="str">
        <x:v>6月9日</x:v>
      </x:c>
      <x:c r="D131" s="24" t="n">
        <x:v>6120</x:v>
      </x:c>
      <x:c r="E131" s="24" t="n">
        <x:v>6191.2</x:v>
      </x:c>
      <x:c r="F131" s="24" t="n">
        <x:v>6108</x:v>
      </x:c>
      <x:c r="G131" s="24" t="n">
        <x:v>6167.8</x:v>
      </x:c>
      <x:c r="H131" s="24"/>
      <x:c r="I131" s="25" t="n">
        <x:v>0.011081603881839985</x:v>
      </x:c>
      <x:c r="J131" s="24" t="n">
        <x:f>ROUND(E131-F131,1)</x:f>
        <x:v>83.2</x:v>
      </x:c>
      <x:c r="K131" s="23" t="str">
        <x:v>IM2506</x:v>
      </x:c>
    </x:row>
    <x:row r="132">
      <x:c r="A132" s="23" t="n">
        <x:v>6</x:v>
      </x:c>
      <x:c r="B132" s="23" t="str">
        <x:v>周二</x:v>
      </x:c>
      <x:c r="C132" s="23" t="str">
        <x:v>6月10日</x:v>
      </x:c>
      <x:c r="D132" s="24" t="n">
        <x:v>6170</x:v>
      </x:c>
      <x:c r="E132" s="24" t="n">
        <x:v>6174</x:v>
      </x:c>
      <x:c r="F132" s="24" t="n">
        <x:v>6062</x:v>
      </x:c>
      <x:c r="G132" s="24" t="n">
        <x:v>6113.8</x:v>
      </x:c>
      <x:c r="H132" s="24"/>
      <x:c r="I132" s="25" t="n">
        <x:v>-0.008755147702584343</x:v>
      </x:c>
      <x:c r="J132" s="24" t="n">
        <x:f>ROUND(E132-F132,1)</x:f>
        <x:v>112</x:v>
      </x:c>
      <x:c r="K132" s="23" t="str">
        <x:v>IM2506</x:v>
      </x:c>
    </x:row>
    <x:row r="133">
      <x:c r="A133" s="23" t="n">
        <x:v>7</x:v>
      </x:c>
      <x:c r="B133" s="23" t="str">
        <x:v>周三</x:v>
      </x:c>
      <x:c r="C133" s="23" t="str">
        <x:v>6月11日</x:v>
      </x:c>
      <x:c r="D133" s="24" t="n">
        <x:v>6124.6</x:v>
      </x:c>
      <x:c r="E133" s="24" t="n">
        <x:v>6196.6</x:v>
      </x:c>
      <x:c r="F133" s="24" t="n">
        <x:v>6122.4</x:v>
      </x:c>
      <x:c r="G133" s="24" t="n">
        <x:v>6144</x:v>
      </x:c>
      <x:c r="H133" s="24"/>
      <x:c r="I133" s="25" t="n">
        <x:v>0.004939644738133353</x:v>
      </x:c>
      <x:c r="J133" s="24" t="n">
        <x:f>ROUND(E133-F133,1)</x:f>
        <x:v>74.2</x:v>
      </x:c>
      <x:c r="K133" s="23" t="str">
        <x:v>IM2506</x:v>
      </x:c>
    </x:row>
    <x:row r="134">
      <x:c r="A134" s="23" t="n">
        <x:v>8</x:v>
      </x:c>
      <x:c r="B134" s="23" t="str">
        <x:v>周四</x:v>
      </x:c>
      <x:c r="C134" s="23" t="str">
        <x:v>6月12日</x:v>
      </x:c>
      <x:c r="D134" s="24" t="n">
        <x:v>6122.6</x:v>
      </x:c>
      <x:c r="E134" s="24" t="n">
        <x:v>6174.6</x:v>
      </x:c>
      <x:c r="F134" s="24" t="n">
        <x:v>6103.2</x:v>
      </x:c>
      <x:c r="G134" s="24" t="n">
        <x:v>6156.8</x:v>
      </x:c>
      <x:c r="H134" s="24"/>
      <x:c r="I134" s="25" t="n">
        <x:v>0.002083333333333437</x:v>
      </x:c>
      <x:c r="J134" s="24" t="n">
        <x:f>ROUND(E134-F134,1)</x:f>
        <x:v>71.4</x:v>
      </x:c>
      <x:c r="K134" s="23" t="str">
        <x:v>IM2506</x:v>
      </x:c>
    </x:row>
    <x:row r="135">
      <x:c r="A135" s="23" t="n">
        <x:v>9</x:v>
      </x:c>
      <x:c r="B135" s="23" t="str">
        <x:v>周五</x:v>
      </x:c>
      <x:c r="C135" s="23" t="str">
        <x:v>6月13日</x:v>
      </x:c>
      <x:c r="D135" s="24" t="n">
        <x:v>6127</x:v>
      </x:c>
      <x:c r="E135" s="24" t="n">
        <x:v>6149.8</x:v>
      </x:c>
      <x:c r="F135" s="24" t="n">
        <x:v>6060</x:v>
      </x:c>
      <x:c r="G135" s="24" t="n">
        <x:v>6084.2</x:v>
      </x:c>
      <x:c r="H135" s="24"/>
      <x:c r="I135" s="25" t="n">
        <x:v>-0.011791839916839963</x:v>
      </x:c>
      <x:c r="J135" s="24" t="n">
        <x:f>ROUND(E135-F135,1)</x:f>
        <x:v>89.8</x:v>
      </x:c>
      <x:c r="K135" s="23" t="str">
        <x:v>IM2506</x:v>
      </x:c>
    </x:row>
    <x:row r="136">
      <x:c r="A136" s="23" t="n">
        <x:v>10</x:v>
      </x:c>
      <x:c r="B136" s="23" t="str">
        <x:v>周一</x:v>
      </x:c>
      <x:c r="C136" s="23" t="str">
        <x:v>6月16日</x:v>
      </x:c>
      <x:c r="D136" s="24" t="n">
        <x:v>6063.8</x:v>
      </x:c>
      <x:c r="E136" s="24" t="n">
        <x:v>6142</x:v>
      </x:c>
      <x:c r="F136" s="24" t="n">
        <x:v>6063.8</x:v>
      </x:c>
      <x:c r="G136" s="24" t="n">
        <x:v>6127.4</x:v>
      </x:c>
      <x:c r="H136" s="24"/>
      <x:c r="I136" s="25" t="n">
        <x:v>0.007100358305118126</x:v>
      </x:c>
      <x:c r="J136" s="24" t="n">
        <x:f>ROUND(E136-F136,1)</x:f>
        <x:v>78.2</x:v>
      </x:c>
      <x:c r="K136" s="23" t="str">
        <x:v>IM2506</x:v>
      </x:c>
    </x:row>
    <x:row r="137">
      <x:c r="A137" s="23" t="n">
        <x:v>11</x:v>
      </x:c>
      <x:c r="B137" s="23" t="str">
        <x:v>周二</x:v>
      </x:c>
      <x:c r="C137" s="23" t="str">
        <x:v>6月17日</x:v>
      </x:c>
      <x:c r="D137" s="24" t="n">
        <x:v>6135</x:v>
      </x:c>
      <x:c r="E137" s="24" t="n">
        <x:v>6150</x:v>
      </x:c>
      <x:c r="F137" s="24" t="n">
        <x:v>6100</x:v>
      </x:c>
      <x:c r="G137" s="24" t="n">
        <x:v>6130</x:v>
      </x:c>
      <x:c r="H137" s="24"/>
      <x:c r="I137" s="25" t="n">
        <x:v>0.00042432353037180626</x:v>
      </x:c>
      <x:c r="J137" s="24" t="n">
        <x:f>ROUND(E137-F137,1)</x:f>
        <x:v>50</x:v>
      </x:c>
      <x:c r="K137" s="23" t="str">
        <x:v>IM2506</x:v>
      </x:c>
    </x:row>
    <x:row r="138">
      <x:c r="A138" s="23" t="n">
        <x:v>12</x:v>
      </x:c>
      <x:c r="B138" s="23" t="str">
        <x:v>周三</x:v>
      </x:c>
      <x:c r="C138" s="23" t="str">
        <x:v>6月18日</x:v>
      </x:c>
      <x:c r="D138" s="24" t="n">
        <x:v>6125</x:v>
      </x:c>
      <x:c r="E138" s="24" t="n">
        <x:v>6139.8</x:v>
      </x:c>
      <x:c r="F138" s="24" t="n">
        <x:v>6078.8</x:v>
      </x:c>
      <x:c r="G138" s="24" t="n">
        <x:v>6124.2</x:v>
      </x:c>
      <x:c r="H138" s="24"/>
      <x:c r="I138" s="25" t="n">
        <x:v>-0.000946166394779846</x:v>
      </x:c>
      <x:c r="J138" s="24" t="n">
        <x:f>ROUND(E138-F138,1)</x:f>
        <x:v>61</x:v>
      </x:c>
      <x:c r="K138" s="23" t="str">
        <x:v>IM2506</x:v>
      </x:c>
    </x:row>
    <x:row r="139">
      <x:c r="A139" s="23" t="n">
        <x:v>13</x:v>
      </x:c>
      <x:c r="B139" s="23" t="str">
        <x:v>周四</x:v>
      </x:c>
      <x:c r="C139" s="23" t="str">
        <x:v>6月19日</x:v>
      </x:c>
      <x:c r="D139" s="24" t="n">
        <x:v>6105</x:v>
      </x:c>
      <x:c r="E139" s="24" t="n">
        <x:v>6131.8</x:v>
      </x:c>
      <x:c r="F139" s="24" t="n">
        <x:v>6030.8</x:v>
      </x:c>
      <x:c r="G139" s="24" t="n">
        <x:v>6050.4</x:v>
      </x:c>
      <x:c r="H139" s="24"/>
      <x:c r="I139" s="25" t="n">
        <x:v>-0.05195780673394068</x:v>
      </x:c>
      <x:c r="J139" s="24" t="n">
        <x:f>ROUND(E139-F139,1)</x:f>
        <x:v>101</x:v>
      </x:c>
      <x:c r="K139" s="23" t="str">
        <x:v>IM2506</x:v>
      </x:c>
    </x:row>
    <x:row r="140">
      <x:c r="A140" s="33" t="n">
        <x:v>14</x:v>
      </x:c>
      <x:c r="B140" s="33" t="str">
        <x:v>周五</x:v>
      </x:c>
      <x:c r="C140" s="33" t="str">
        <x:v>6月20日</x:v>
      </x:c>
      <x:c r="D140" s="34" t="n">
        <x:v>6056.6</x:v>
      </x:c>
      <x:c r="E140" s="34" t="n">
        <x:v>6093</x:v>
      </x:c>
      <x:c r="F140" s="34" t="n">
        <x:v>6008.8</x:v>
      </x:c>
      <x:c r="G140" s="34" t="n">
        <x:v>6015</x:v>
      </x:c>
      <x:c r="H140" s="34"/>
      <x:c r="I140" s="35" t="n">
        <x:v>-0.003134688253530804</x:v>
      </x:c>
      <x:c r="J140" s="34" t="n">
        <x:f>ROUND(E140-F140,1)</x:f>
        <x:v>84.2</x:v>
      </x:c>
      <x:c r="K140" s="33" t="str">
        <x:v>IM2506</x:v>
      </x:c>
    </x:row>
    <x:row r="141">
      <x:c r="A141" s="23" t="n">
        <x:v>15</x:v>
      </x:c>
      <x:c r="B141" s="23" t="str">
        <x:v>周一</x:v>
      </x:c>
      <x:c r="C141" s="23" t="str">
        <x:v>6月23日</x:v>
      </x:c>
      <x:c r="D141" s="24" t="n">
        <x:v>5770</x:v>
      </x:c>
      <x:c r="E141" s="24" t="n">
        <x:v>5866.8</x:v>
      </x:c>
      <x:c r="F141" s="24" t="n">
        <x:v>5765</x:v>
      </x:c>
      <x:c r="G141" s="24" t="n">
        <x:v>5851.2</x:v>
      </x:c>
      <x:c r="H141" s="24"/>
      <x:c r="I141" s="25" t="n">
        <x:v>0.01095407581464447</x:v>
      </x:c>
      <x:c r="J141" s="24" t="n">
        <x:f>ROUND(E141-F141,1)</x:f>
        <x:v>101.8</x:v>
      </x:c>
      <x:c r="K141" s="23" t="str">
        <x:v>IM2509</x:v>
      </x:c>
    </x:row>
    <x:row r="142">
      <x:c r="A142" s="23" t="n">
        <x:v>16</x:v>
      </x:c>
      <x:c r="B142" s="23" t="str">
        <x:v>周二</x:v>
      </x:c>
      <x:c r="C142" s="23" t="str">
        <x:v>6月24日</x:v>
      </x:c>
      <x:c r="D142" s="24" t="n">
        <x:v>5869</x:v>
      </x:c>
      <x:c r="E142" s="24" t="n">
        <x:v>6003.4</x:v>
      </x:c>
      <x:c r="F142" s="24" t="n">
        <x:v>5866.8</x:v>
      </x:c>
      <x:c r="G142" s="24" t="n">
        <x:v>5995</x:v>
      </x:c>
      <x:c r="H142" s="24"/>
      <x:c r="I142" s="25" t="n">
        <x:v>0.024576155318567272</x:v>
      </x:c>
      <x:c r="J142" s="24" t="n">
        <x:f>ROUND(E142-F142,1)</x:f>
        <x:v>136.6</x:v>
      </x:c>
      <x:c r="K142" s="23" t="str">
        <x:v>IM2509</x:v>
      </x:c>
    </x:row>
    <x:row r="143">
      <x:c r="A143" s="23" t="n">
        <x:v>17</x:v>
      </x:c>
      <x:c r="B143" s="23" t="str">
        <x:v>周三</x:v>
      </x:c>
      <x:c r="C143" s="23" t="str">
        <x:v>6月25日</x:v>
      </x:c>
      <x:c r="D143" s="24" t="n">
        <x:v>5995</x:v>
      </x:c>
      <x:c r="E143" s="24" t="n">
        <x:v>6133</x:v>
      </x:c>
      <x:c r="F143" s="24" t="n">
        <x:v>5994.8</x:v>
      </x:c>
      <x:c r="G143" s="24" t="n">
        <x:v>6119.6</x:v>
      </x:c>
      <x:c r="H143" s="24"/>
      <x:c r="I143" s="25" t="n">
        <x:v>0.02078398665554637</x:v>
      </x:c>
      <x:c r="J143" s="24" t="n">
        <x:f>ROUND(E143-F143,1)</x:f>
        <x:v>138.2</x:v>
      </x:c>
      <x:c r="K143" s="23" t="str">
        <x:v>IM2509</x:v>
      </x:c>
    </x:row>
    <x:row r="144">
      <x:c r="A144" s="23" t="n">
        <x:v>18</x:v>
      </x:c>
      <x:c r="B144" s="23" t="str">
        <x:v>周四</x:v>
      </x:c>
      <x:c r="C144" s="23" t="str">
        <x:v>6月26日</x:v>
      </x:c>
      <x:c r="D144" s="24" t="n">
        <x:v>6105</x:v>
      </x:c>
      <x:c r="E144" s="24" t="n">
        <x:v>6147.8</x:v>
      </x:c>
      <x:c r="F144" s="24" t="n">
        <x:v>6090.6</x:v>
      </x:c>
      <x:c r="G144" s="24" t="n">
        <x:v>6097.8</x:v>
      </x:c>
      <x:c r="H144" s="24"/>
      <x:c r="I144" s="25" t="n">
        <x:v>-0.003562324334923872</x:v>
      </x:c>
      <x:c r="J144" s="24" t="n">
        <x:f>ROUND(E144-F144,1)</x:f>
        <x:v>57.2</x:v>
      </x:c>
      <x:c r="K144" s="23" t="str">
        <x:v>IM2509</x:v>
      </x:c>
    </x:row>
    <x:row r="145">
      <x:c r="A145" s="23" t="n">
        <x:v>19</x:v>
      </x:c>
      <x:c r="B145" s="23" t="str">
        <x:v>周五</x:v>
      </x:c>
      <x:c r="C145" s="23" t="str">
        <x:v>6月27日</x:v>
      </x:c>
      <x:c r="D145" s="24" t="n">
        <x:v>6120</x:v>
      </x:c>
      <x:c r="E145" s="24" t="n">
        <x:v>6174.4</x:v>
      </x:c>
      <x:c r="F145" s="24" t="n">
        <x:v>6100.6</x:v>
      </x:c>
      <x:c r="G145" s="24" t="n">
        <x:v>6110.8</x:v>
      </x:c>
      <x:c r="H145" s="24"/>
      <x:c r="I145" s="25" t="n">
        <x:v>0.0021319164288760017</x:v>
      </x:c>
      <x:c r="J145" s="24" t="n">
        <x:f>ROUND(E145-F145,1)</x:f>
        <x:v>73.8</x:v>
      </x:c>
      <x:c r="K145" s="23" t="str">
        <x:v>IM2509</x:v>
      </x:c>
    </x:row>
    <x:row r="146">
      <x:c r="A146" s="23" t="n">
        <x:v>20</x:v>
      </x:c>
      <x:c r="B146" s="23" t="str">
        <x:v>周一</x:v>
      </x:c>
      <x:c r="C146" s="23" t="str">
        <x:v>6月30日</x:v>
      </x:c>
      <x:c r="D146" s="24" t="n">
        <x:v>6140.4</x:v>
      </x:c>
      <x:c r="E146" s="24" t="n">
        <x:v>6173.6</x:v>
      </x:c>
      <x:c r="F146" s="24" t="n">
        <x:v>6119</x:v>
      </x:c>
      <x:c r="G146" s="24" t="n">
        <x:v>6148.6</x:v>
      </x:c>
      <x:c r="H146" s="24"/>
      <x:c r="I146" s="25" t="n">
        <x:v>0.006185769457354162</x:v>
      </x:c>
      <x:c r="J146" s="24" t="n">
        <x:f>ROUND(E146-F146,1)</x:f>
        <x:v>54.6</x:v>
      </x:c>
      <x:c r="K146" s="23" t="str">
        <x:v>IM2509</x:v>
      </x:c>
    </x:row>
    <x:row r="147">
      <x:c r="A147" s="38" t="str">
        <x:v>合计</x:v>
      </x:c>
      <x:c r="B147" s="37" t="n">
        <x:v>20</x:v>
      </x:c>
      <x:c r="C147" s="37"/>
      <x:c r="D147" s="37"/>
      <x:c r="E147" s="37"/>
      <x:c r="F147" s="37"/>
      <x:c r="G147" s="37"/>
      <x:c r="H147" s="37"/>
      <x:c r="I147" s="37"/>
      <x:c r="J147" s="39" t="n">
        <x:f>ROUND(SUM(J127:J146),1)</x:f>
        <x:v>1654.8</x:v>
      </x:c>
      <x:c r="K147" s="37"/>
    </x:row>
    <x:row r="148">
      <x:c r="A148" s="38" t="str">
        <x:v>均值</x:v>
      </x:c>
      <x:c r="B148" s="37"/>
      <x:c r="C148" s="37"/>
      <x:c r="D148" s="37"/>
      <x:c r="E148" s="37"/>
      <x:c r="F148" s="37"/>
      <x:c r="G148" s="37"/>
      <x:c r="H148" s="37"/>
      <x:c r="I148" s="37"/>
      <x:c r="J148" s="41" t="n">
        <x:f>ROUND(IFERROR(AVERAGE(J127:J146),0),1)</x:f>
        <x:v>82.7</x:v>
      </x:c>
      <x:c r="K148" s="37"/>
    </x:row>
    <x:row r="150">
      <x:c r="A150" s="17" t="str">
        <x:v>7月</x:v>
      </x:c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</x:row>
    <x:row r="151">
      <x:c r="A151" s="20" t="str">
        <x:v>序号</x:v>
      </x:c>
      <x:c r="B151" s="20" t="str">
        <x:v>星期</x:v>
      </x:c>
      <x:c r="C151" s="20" t="str">
        <x:v>日期</x:v>
      </x:c>
      <x:c r="D151" s="20" t="str">
        <x:v>开盘</x:v>
      </x:c>
      <x:c r="E151" s="20" t="str">
        <x:v>高点</x:v>
      </x:c>
      <x:c r="F151" s="20" t="str">
        <x:v>低点</x:v>
      </x:c>
      <x:c r="G151" s="20" t="str">
        <x:v>收盘</x:v>
      </x:c>
      <x:c r="H151" s="20" t="str">
        <x:v>涨跌点数</x:v>
      </x:c>
      <x:c r="I151" s="20" t="str">
        <x:v>涨幅</x:v>
      </x:c>
      <x:c r="J151" s="20" t="str">
        <x:v>振幅</x:v>
      </x:c>
      <x:c r="K151" s="20" t="str">
        <x:v>标的</x:v>
      </x:c>
    </x:row>
    <x:row r="152">
      <x:c r="A152" s="23" t="n">
        <x:v>1</x:v>
      </x:c>
      <x:c r="B152" s="23" t="str">
        <x:v>周二</x:v>
      </x:c>
      <x:c r="C152" s="23" t="str">
        <x:v>7月1日</x:v>
      </x:c>
      <x:c r="D152" s="24" t="n">
        <x:v>6143</x:v>
      </x:c>
      <x:c r="E152" s="24" t="n">
        <x:v>6150</x:v>
      </x:c>
      <x:c r="F152" s="24" t="n">
        <x:v>6076.2</x:v>
      </x:c>
      <x:c r="G152" s="24" t="n">
        <x:v>6133.4</x:v>
      </x:c>
      <x:c r="H152" s="24"/>
      <x:c r="I152" s="25" t="n">
        <x:v>-0.0024721074716196334</x:v>
      </x:c>
      <x:c r="J152" s="24" t="n">
        <x:f>ROUND(E152-F152,1)</x:f>
        <x:v>73.8</x:v>
      </x:c>
      <x:c r="K152" s="23" t="str">
        <x:v>IM2509</x:v>
      </x:c>
    </x:row>
    <x:row r="153">
      <x:c r="A153" s="23" t="n">
        <x:v>2</x:v>
      </x:c>
      <x:c r="B153" s="23" t="str">
        <x:v>周三</x:v>
      </x:c>
      <x:c r="C153" s="23" t="str">
        <x:v>7月2日</x:v>
      </x:c>
      <x:c r="D153" s="24" t="n">
        <x:v>6130</x:v>
      </x:c>
      <x:c r="E153" s="24" t="n">
        <x:v>6131.8</x:v>
      </x:c>
      <x:c r="F153" s="24" t="n">
        <x:v>6080</x:v>
      </x:c>
      <x:c r="G153" s="24" t="n">
        <x:v>6117</x:v>
      </x:c>
      <x:c r="H153" s="24"/>
      <x:c r="I153" s="25" t="n">
        <x:v>-0.0026738839795219516</x:v>
      </x:c>
      <x:c r="J153" s="24" t="n">
        <x:f>ROUND(E153-F153,1)</x:f>
        <x:v>51.8</x:v>
      </x:c>
      <x:c r="K153" s="23" t="str">
        <x:v>IM2509</x:v>
      </x:c>
    </x:row>
    <x:row r="154">
      <x:c r="A154" s="23" t="n">
        <x:v>3</x:v>
      </x:c>
      <x:c r="B154" s="23" t="str">
        <x:v>周四</x:v>
      </x:c>
      <x:c r="C154" s="23" t="str">
        <x:v>7月3日</x:v>
      </x:c>
      <x:c r="D154" s="24" t="n">
        <x:v>6127.2</x:v>
      </x:c>
      <x:c r="E154" s="24" t="n">
        <x:v>6161</x:v>
      </x:c>
      <x:c r="F154" s="24" t="n">
        <x:v>6098.4</x:v>
      </x:c>
      <x:c r="G154" s="24" t="n">
        <x:v>6135.8</x:v>
      </x:c>
      <x:c r="H154" s="24"/>
      <x:c r="I154" s="25" t="n">
        <x:v>0.003073401994441838</x:v>
      </x:c>
      <x:c r="J154" s="24" t="n">
        <x:f>ROUND(E154-F154,1)</x:f>
        <x:v>62.6</x:v>
      </x:c>
      <x:c r="K154" s="23" t="str">
        <x:v>IM2509</x:v>
      </x:c>
    </x:row>
    <x:row r="155">
      <x:c r="A155" s="23" t="n">
        <x:v>4</x:v>
      </x:c>
      <x:c r="B155" s="23" t="str">
        <x:v>周五</x:v>
      </x:c>
      <x:c r="C155" s="23" t="str">
        <x:v>7月4日</x:v>
      </x:c>
      <x:c r="D155" s="24" t="n">
        <x:v>6130</x:v>
      </x:c>
      <x:c r="E155" s="24" t="n">
        <x:v>6184.2</x:v>
      </x:c>
      <x:c r="F155" s="24" t="n">
        <x:v>6084.2</x:v>
      </x:c>
      <x:c r="G155" s="24" t="n">
        <x:v>6112.2</x:v>
      </x:c>
      <x:c r="H155" s="24"/>
      <x:c r="I155" s="25" t="n">
        <x:v>-0.0038462792137945456</x:v>
      </x:c>
      <x:c r="J155" s="24" t="n">
        <x:f>ROUND(E155-F155,1)</x:f>
        <x:v>100</x:v>
      </x:c>
      <x:c r="K155" s="23" t="str">
        <x:v>IM2509</x:v>
      </x:c>
    </x:row>
    <x:row r="156">
      <x:c r="A156" s="23" t="n">
        <x:v>5</x:v>
      </x:c>
      <x:c r="B156" s="23" t="str">
        <x:v>周一</x:v>
      </x:c>
      <x:c r="C156" s="23" t="str">
        <x:v>7月7日</x:v>
      </x:c>
      <x:c r="D156" s="24" t="n">
        <x:v>6100</x:v>
      </x:c>
      <x:c r="E156" s="24" t="n">
        <x:v>6130</x:v>
      </x:c>
      <x:c r="F156" s="24" t="n">
        <x:v>6095.2</x:v>
      </x:c>
      <x:c r="G156" s="24" t="n">
        <x:v>6111.6</x:v>
      </x:c>
      <x:c r="H156" s="24"/>
      <x:c r="I156" s="25" t="n">
        <x:v>-0.0000981643270834276</x:v>
      </x:c>
      <x:c r="J156" s="24" t="n">
        <x:f>ROUND(E156-F156,1)</x:f>
        <x:v>34.8</x:v>
      </x:c>
      <x:c r="K156" s="23" t="str">
        <x:v>IM2509</x:v>
      </x:c>
    </x:row>
    <x:row r="157">
      <x:c r="A157" s="23" t="n">
        <x:v>6</x:v>
      </x:c>
      <x:c r="B157" s="23" t="str">
        <x:v>周二</x:v>
      </x:c>
      <x:c r="C157" s="23" t="str">
        <x:v>7月8日</x:v>
      </x:c>
      <x:c r="D157" s="24" t="n">
        <x:v>6114.2</x:v>
      </x:c>
      <x:c r="E157" s="24" t="n">
        <x:v>6237</x:v>
      </x:c>
      <x:c r="F157" s="24" t="n">
        <x:v>6102</x:v>
      </x:c>
      <x:c r="G157" s="24" t="n">
        <x:v>6235.8</x:v>
      </x:c>
      <x:c r="H157" s="24"/>
      <x:c r="I157" s="25" t="n">
        <x:v>0.020322010602788154</x:v>
      </x:c>
      <x:c r="J157" s="24" t="n">
        <x:f>ROUND(E157-F157,1)</x:f>
        <x:v>135</x:v>
      </x:c>
      <x:c r="K157" s="23" t="str">
        <x:v>IM2509</x:v>
      </x:c>
    </x:row>
    <x:row r="158">
      <x:c r="A158" s="23" t="n">
        <x:v>7</x:v>
      </x:c>
      <x:c r="B158" s="23" t="str">
        <x:v>周三</x:v>
      </x:c>
      <x:c r="C158" s="23" t="str">
        <x:v>7月9日</x:v>
      </x:c>
      <x:c r="D158" s="24" t="n">
        <x:v>6240</x:v>
      </x:c>
      <x:c r="E158" s="24" t="n">
        <x:v>6249.8</x:v>
      </x:c>
      <x:c r="F158" s="24" t="n">
        <x:v>6208.2</x:v>
      </x:c>
      <x:c r="G158" s="24" t="n">
        <x:v>6214</x:v>
      </x:c>
      <x:c r="H158" s="24"/>
      <x:c r="I158" s="25" t="n">
        <x:v>-0.003495942782000716</x:v>
      </x:c>
      <x:c r="J158" s="24" t="n">
        <x:f>ROUND(E158-F158,1)</x:f>
        <x:v>41.6</x:v>
      </x:c>
      <x:c r="K158" s="23" t="str">
        <x:v>IM2509</x:v>
      </x:c>
    </x:row>
    <x:row r="159">
      <x:c r="A159" s="23" t="n">
        <x:v>8</x:v>
      </x:c>
      <x:c r="B159" s="23" t="str">
        <x:v>周四</x:v>
      </x:c>
      <x:c r="C159" s="23" t="str">
        <x:v>7月10日</x:v>
      </x:c>
      <x:c r="D159" s="24" t="n">
        <x:v>6214</x:v>
      </x:c>
      <x:c r="E159" s="24" t="n">
        <x:v>6265</x:v>
      </x:c>
      <x:c r="F159" s="24" t="n">
        <x:v>6200.8</x:v>
      </x:c>
      <x:c r="G159" s="24" t="n">
        <x:v>6231.6</x:v>
      </x:c>
      <x:c r="H159" s="24"/>
      <x:c r="I159" s="25" t="n">
        <x:v>0.0028323141293853382</x:v>
      </x:c>
      <x:c r="J159" s="24" t="n">
        <x:f>ROUND(E159-F159,1)</x:f>
        <x:v>64.2</x:v>
      </x:c>
      <x:c r="K159" s="23" t="str">
        <x:v>IM2509</x:v>
      </x:c>
    </x:row>
    <x:row r="160">
      <x:c r="A160" s="23" t="n">
        <x:v>9</x:v>
      </x:c>
      <x:c r="B160" s="23" t="str">
        <x:v>周五</x:v>
      </x:c>
      <x:c r="C160" s="23" t="str">
        <x:v>7月11日</x:v>
      </x:c>
      <x:c r="D160" s="24" t="n">
        <x:v>6240.2</x:v>
      </x:c>
      <x:c r="E160" s="24" t="n">
        <x:v>6360</x:v>
      </x:c>
      <x:c r="F160" s="24" t="n">
        <x:v>6211.4</x:v>
      </x:c>
      <x:c r="G160" s="24" t="n">
        <x:v>6319.8</x:v>
      </x:c>
      <x:c r="H160" s="24"/>
      <x:c r="I160" s="25" t="n">
        <x:v>0.014153668399768948</x:v>
      </x:c>
      <x:c r="J160" s="24" t="n">
        <x:f>ROUND(E160-F160,1)</x:f>
        <x:v>148.6</x:v>
      </x:c>
      <x:c r="K160" s="23" t="str">
        <x:v>IM2509</x:v>
      </x:c>
    </x:row>
    <x:row r="161">
      <x:c r="A161" s="23" t="n">
        <x:v>10</x:v>
      </x:c>
      <x:c r="B161" s="23" t="str">
        <x:v>周一</x:v>
      </x:c>
      <x:c r="C161" s="23" t="str">
        <x:v>7月14日</x:v>
      </x:c>
      <x:c r="D161" s="24" t="n">
        <x:v>6326</x:v>
      </x:c>
      <x:c r="E161" s="24" t="n">
        <x:v>6329.8</x:v>
      </x:c>
      <x:c r="F161" s="24" t="n">
        <x:v>6293</x:v>
      </x:c>
      <x:c r="G161" s="24" t="n">
        <x:v>6302.2</x:v>
      </x:c>
      <x:c r="H161" s="24"/>
      <x:c r="I161" s="25" t="n">
        <x:v>-0.0027848982562740376</x:v>
      </x:c>
      <x:c r="J161" s="24" t="n">
        <x:f>ROUND(E161-F161,1)</x:f>
        <x:v>36.8</x:v>
      </x:c>
      <x:c r="K161" s="23" t="str">
        <x:v>IM2509</x:v>
      </x:c>
    </x:row>
    <x:row r="162">
      <x:c r="A162" s="23" t="n">
        <x:v>11</x:v>
      </x:c>
      <x:c r="B162" s="23" t="str">
        <x:v>周二</x:v>
      </x:c>
      <x:c r="C162" s="23" t="str">
        <x:v>7月15日</x:v>
      </x:c>
      <x:c r="D162" s="24" t="n">
        <x:v>6298</x:v>
      </x:c>
      <x:c r="E162" s="24" t="n">
        <x:v>6335.4</x:v>
      </x:c>
      <x:c r="F162" s="24" t="n">
        <x:v>6229</x:v>
      </x:c>
      <x:c r="G162" s="24" t="n">
        <x:v>6277.4</x:v>
      </x:c>
      <x:c r="H162" s="24"/>
      <x:c r="I162" s="25" t="n">
        <x:v>-0.00393513376281307</x:v>
      </x:c>
      <x:c r="J162" s="24" t="n">
        <x:f>ROUND(E162-F162,1)</x:f>
        <x:v>106.4</x:v>
      </x:c>
      <x:c r="K162" s="23" t="str">
        <x:v>IM2509</x:v>
      </x:c>
    </x:row>
    <x:row r="163">
      <x:c r="A163" s="23" t="n">
        <x:v>12</x:v>
      </x:c>
      <x:c r="B163" s="23" t="str">
        <x:v>周三</x:v>
      </x:c>
      <x:c r="C163" s="23" t="str">
        <x:v>7月16日</x:v>
      </x:c>
      <x:c r="D163" s="24" t="n">
        <x:v>6288</x:v>
      </x:c>
      <x:c r="E163" s="24" t="n">
        <x:v>6355</x:v>
      </x:c>
      <x:c r="F163" s="24" t="n">
        <x:v>6270.2</x:v>
      </x:c>
      <x:c r="G163" s="24" t="n">
        <x:v>6298</x:v>
      </x:c>
      <x:c r="H163" s="24"/>
      <x:c r="I163" s="25" t="n">
        <x:v>0.003281613406824535</x:v>
      </x:c>
      <x:c r="J163" s="24" t="n">
        <x:f>ROUND(E163-F163,1)</x:f>
        <x:v>84.8</x:v>
      </x:c>
      <x:c r="K163" s="23" t="str">
        <x:v>IM2509</x:v>
      </x:c>
    </x:row>
    <x:row r="164">
      <x:c r="A164" s="23" t="n">
        <x:v>13</x:v>
      </x:c>
      <x:c r="B164" s="23" t="str">
        <x:v>周四</x:v>
      </x:c>
      <x:c r="C164" s="23" t="str">
        <x:v>7月17日</x:v>
      </x:c>
      <x:c r="D164" s="24" t="n">
        <x:v>6295</x:v>
      </x:c>
      <x:c r="E164" s="24" t="n">
        <x:v>6391.6</x:v>
      </x:c>
      <x:c r="F164" s="24" t="n">
        <x:v>6288.2</x:v>
      </x:c>
      <x:c r="G164" s="24" t="n">
        <x:v>6390.4</x:v>
      </x:c>
      <x:c r="H164" s="24"/>
      <x:c r="I164" s="25" t="n">
        <x:v>0.014671324229914129</x:v>
      </x:c>
      <x:c r="J164" s="24" t="n">
        <x:f>ROUND(E164-F164,1)</x:f>
        <x:v>103.4</x:v>
      </x:c>
      <x:c r="K164" s="23" t="str">
        <x:v>IM2509</x:v>
      </x:c>
    </x:row>
    <x:row r="165">
      <x:c r="A165" s="33" t="n">
        <x:v>14</x:v>
      </x:c>
      <x:c r="B165" s="33" t="str">
        <x:v>周五</x:v>
      </x:c>
      <x:c r="C165" s="33" t="str">
        <x:v>7月18日</x:v>
      </x:c>
      <x:c r="D165" s="34" t="n">
        <x:v>6406</x:v>
      </x:c>
      <x:c r="E165" s="34" t="n">
        <x:v>6437</x:v>
      </x:c>
      <x:c r="F165" s="34" t="n">
        <x:v>6372.8</x:v>
      </x:c>
      <x:c r="G165" s="34" t="n">
        <x:v>6413.6</x:v>
      </x:c>
      <x:c r="H165" s="34"/>
      <x:c r="I165" s="35" t="n">
        <x:v>0.003630445668502791</x:v>
      </x:c>
      <x:c r="J165" s="34" t="n">
        <x:f>ROUND(E165-F165,1)</x:f>
        <x:v>64.2</x:v>
      </x:c>
      <x:c r="K165" s="33" t="str">
        <x:v>IM2509</x:v>
      </x:c>
    </x:row>
    <x:row r="166">
      <x:c r="A166" s="23" t="n">
        <x:v>15</x:v>
      </x:c>
      <x:c r="B166" s="23" t="str">
        <x:v>周一</x:v>
      </x:c>
      <x:c r="C166" s="23" t="str">
        <x:v>7月21日</x:v>
      </x:c>
      <x:c r="D166" s="24" t="n">
        <x:v>6440</x:v>
      </x:c>
      <x:c r="E166" s="24" t="n">
        <x:v>6503.2</x:v>
      </x:c>
      <x:c r="F166" s="24" t="n">
        <x:v>6430.2</x:v>
      </x:c>
      <x:c r="G166" s="24" t="n">
        <x:v>6463.2</x:v>
      </x:c>
      <x:c r="H166" s="24"/>
      <x:c r="I166" s="25" t="n">
        <x:v>0.007733566171884698</x:v>
      </x:c>
      <x:c r="J166" s="24" t="n">
        <x:f>ROUND(E166-F166,1)</x:f>
        <x:v>73</x:v>
      </x:c>
      <x:c r="K166" s="23" t="str">
        <x:v>IM2509</x:v>
      </x:c>
    </x:row>
    <x:row r="167">
      <x:c r="A167" s="23" t="n">
        <x:v>16</x:v>
      </x:c>
      <x:c r="B167" s="23" t="str">
        <x:v>周二</x:v>
      </x:c>
      <x:c r="C167" s="23" t="str">
        <x:v>7月22日</x:v>
      </x:c>
      <x:c r="D167" s="24" t="n">
        <x:v>6463.2</x:v>
      </x:c>
      <x:c r="E167" s="24" t="n">
        <x:v>6518</x:v>
      </x:c>
      <x:c r="F167" s="24" t="n">
        <x:v>6451.2</x:v>
      </x:c>
      <x:c r="G167" s="24" t="n">
        <x:v>6515.4</x:v>
      </x:c>
      <x:c r="H167" s="24"/>
      <x:c r="I167" s="25" t="n">
        <x:v>0.008076494615670171</x:v>
      </x:c>
      <x:c r="J167" s="24" t="n">
        <x:f>ROUND(E167-F167,1)</x:f>
        <x:v>66.8</x:v>
      </x:c>
      <x:c r="K167" s="23" t="str">
        <x:v>IM2509</x:v>
      </x:c>
    </x:row>
    <x:row r="168">
      <x:c r="A168" s="23" t="n">
        <x:v>17</x:v>
      </x:c>
      <x:c r="B168" s="23" t="str">
        <x:v>周三</x:v>
      </x:c>
      <x:c r="C168" s="23" t="str">
        <x:v>7月23日</x:v>
      </x:c>
      <x:c r="D168" s="24" t="n">
        <x:v>6521.2</x:v>
      </x:c>
      <x:c r="E168" s="24" t="n">
        <x:v>6561.4</x:v>
      </x:c>
      <x:c r="F168" s="24" t="n">
        <x:v>6474.2</x:v>
      </x:c>
      <x:c r="G168" s="24" t="n">
        <x:v>6500</x:v>
      </x:c>
      <x:c r="H168" s="24"/>
      <x:c r="I168" s="25" t="n">
        <x:v>-0.0023636307824538294</x:v>
      </x:c>
      <x:c r="J168" s="24" t="n">
        <x:f>ROUND(E168-F168,1)</x:f>
        <x:v>87.2</x:v>
      </x:c>
      <x:c r="K168" s="23" t="str">
        <x:v>IM2509</x:v>
      </x:c>
    </x:row>
    <x:row r="169">
      <x:c r="A169" s="23" t="n">
        <x:v>18</x:v>
      </x:c>
      <x:c r="B169" s="23" t="str">
        <x:v>周四</x:v>
      </x:c>
      <x:c r="C169" s="23" t="str">
        <x:v>7月24日</x:v>
      </x:c>
      <x:c r="D169" s="24" t="n">
        <x:v>6492</x:v>
      </x:c>
      <x:c r="E169" s="24" t="n">
        <x:v>6626.2</x:v>
      </x:c>
      <x:c r="F169" s="24" t="n">
        <x:v>6491.2</x:v>
      </x:c>
      <x:c r="G169" s="24" t="n">
        <x:v>6618.6</x:v>
      </x:c>
      <x:c r="H169" s="24"/>
      <x:c r="I169" s="25" t="n">
        <x:v>0.0182461538461538</x:v>
      </x:c>
      <x:c r="J169" s="24" t="n">
        <x:f>ROUND(E169-F169,1)</x:f>
        <x:v>135</x:v>
      </x:c>
      <x:c r="K169" s="23" t="str">
        <x:v>IM2509</x:v>
      </x:c>
    </x:row>
    <x:row r="170">
      <x:c r="A170" s="23" t="n">
        <x:v>19</x:v>
      </x:c>
      <x:c r="B170" s="23" t="str">
        <x:v>周五</x:v>
      </x:c>
      <x:c r="C170" s="23" t="str">
        <x:v>7月25日</x:v>
      </x:c>
      <x:c r="D170" s="24" t="n">
        <x:v>6619</x:v>
      </x:c>
      <x:c r="E170" s="24" t="n">
        <x:v>6619</x:v>
      </x:c>
      <x:c r="F170" s="24" t="n">
        <x:v>6567</x:v>
      </x:c>
      <x:c r="G170" s="24" t="n">
        <x:v>6605.8</x:v>
      </x:c>
      <x:c r="H170" s="24"/>
      <x:c r="I170" s="25" t="n">
        <x:v>-0.0019339437343245391</x:v>
      </x:c>
      <x:c r="J170" s="24" t="n">
        <x:f>ROUND(E170-F170,1)</x:f>
        <x:v>52</x:v>
      </x:c>
      <x:c r="K170" s="23" t="str">
        <x:v>IM2509</x:v>
      </x:c>
    </x:row>
    <x:row r="171">
      <x:c r="A171" s="23" t="n">
        <x:v>20</x:v>
      </x:c>
      <x:c r="B171" s="23" t="str">
        <x:v>周一</x:v>
      </x:c>
      <x:c r="C171" s="23" t="str">
        <x:v>7月28日</x:v>
      </x:c>
      <x:c r="D171" s="24" t="n">
        <x:v>6608.6</x:v>
      </x:c>
      <x:c r="E171" s="24" t="n">
        <x:v>6645</x:v>
      </x:c>
      <x:c r="F171" s="24" t="n">
        <x:v>6560</x:v>
      </x:c>
      <x:c r="G171" s="24" t="n">
        <x:v>6602</x:v>
      </x:c>
      <x:c r="H171" s="24"/>
      <x:c r="I171" s="25" t="n">
        <x:v>-0.0005752520512277703</x:v>
      </x:c>
      <x:c r="J171" s="24" t="n">
        <x:f>ROUND(E171-F171,1)</x:f>
        <x:v>85</x:v>
      </x:c>
      <x:c r="K171" s="23" t="str">
        <x:v>IM2509</x:v>
      </x:c>
    </x:row>
    <x:row r="172">
      <x:c r="A172" s="23" t="n">
        <x:v>21</x:v>
      </x:c>
      <x:c r="B172" s="23" t="str">
        <x:v>周二</x:v>
      </x:c>
      <x:c r="C172" s="23" t="str">
        <x:v>7月29日</x:v>
      </x:c>
      <x:c r="D172" s="24" t="n">
        <x:v>6583</x:v>
      </x:c>
      <x:c r="E172" s="24" t="n">
        <x:v>6664.2</x:v>
      </x:c>
      <x:c r="F172" s="24" t="n">
        <x:v>6546.6</x:v>
      </x:c>
      <x:c r="G172" s="24" t="n">
        <x:v>6662</x:v>
      </x:c>
      <x:c r="H172" s="24"/>
      <x:c r="I172" s="25" t="n">
        <x:v>0.009088155104513884</x:v>
      </x:c>
      <x:c r="J172" s="24" t="n">
        <x:f>ROUND(E172-F172,1)</x:f>
        <x:v>117.6</x:v>
      </x:c>
      <x:c r="K172" s="23" t="str">
        <x:v>IM2509</x:v>
      </x:c>
    </x:row>
    <x:row r="173">
      <x:c r="A173" s="23" t="n">
        <x:v>22</x:v>
      </x:c>
      <x:c r="B173" s="23" t="str">
        <x:v>周三</x:v>
      </x:c>
      <x:c r="C173" s="23" t="str">
        <x:v>7月30日</x:v>
      </x:c>
      <x:c r="D173" s="24" t="n">
        <x:v>6640</x:v>
      </x:c>
      <x:c r="E173" s="24" t="n">
        <x:v>6658</x:v>
      </x:c>
      <x:c r="F173" s="24" t="n">
        <x:v>6556</x:v>
      </x:c>
      <x:c r="G173" s="24" t="n">
        <x:v>6604.2</x:v>
      </x:c>
      <x:c r="H173" s="24"/>
      <x:c r="I173" s="25" t="n">
        <x:v>-0.00867607325127595</x:v>
      </x:c>
      <x:c r="J173" s="24" t="n">
        <x:f>ROUND(E173-F173,1)</x:f>
        <x:v>102</x:v>
      </x:c>
      <x:c r="K173" s="23" t="str">
        <x:v>IM2509</x:v>
      </x:c>
    </x:row>
    <x:row r="174">
      <x:c r="A174" s="23" t="n">
        <x:v>23</x:v>
      </x:c>
      <x:c r="B174" s="23" t="str">
        <x:v>周四</x:v>
      </x:c>
      <x:c r="C174" s="23" t="str">
        <x:v>7月31日</x:v>
      </x:c>
      <x:c r="D174" s="24" t="n">
        <x:v>6589</x:v>
      </x:c>
      <x:c r="E174" s="24" t="n">
        <x:v>6634</x:v>
      </x:c>
      <x:c r="F174" s="24" t="n">
        <x:v>6497.2</x:v>
      </x:c>
      <x:c r="G174" s="24" t="n">
        <x:v>6538</x:v>
      </x:c>
      <x:c r="H174" s="24"/>
      <x:c r="I174" s="25" t="n">
        <x:v>-0.010023924169467846</x:v>
      </x:c>
      <x:c r="J174" s="24" t="n">
        <x:f>ROUND(E174-F174,1)</x:f>
        <x:v>136.8</x:v>
      </x:c>
      <x:c r="K174" s="23" t="str">
        <x:v>IM2509</x:v>
      </x:c>
    </x:row>
    <x:row r="175">
      <x:c r="A175" s="38" t="str">
        <x:v>合计</x:v>
      </x:c>
      <x:c r="B175" s="37" t="n">
        <x:v>23</x:v>
      </x:c>
      <x:c r="C175" s="37"/>
      <x:c r="D175" s="37"/>
      <x:c r="E175" s="37"/>
      <x:c r="F175" s="37"/>
      <x:c r="G175" s="37"/>
      <x:c r="H175" s="37"/>
      <x:c r="I175" s="37"/>
      <x:c r="J175" s="39" t="n">
        <x:f>ROUND(SUM(J152:J174),1)</x:f>
        <x:v>1963.4</x:v>
      </x:c>
      <x:c r="K175" s="37"/>
    </x:row>
    <x:row r="176">
      <x:c r="A176" s="38" t="str">
        <x:v>均值</x:v>
      </x:c>
      <x:c r="B176" s="37"/>
      <x:c r="C176" s="37"/>
      <x:c r="D176" s="37"/>
      <x:c r="E176" s="37"/>
      <x:c r="F176" s="37"/>
      <x:c r="G176" s="37"/>
      <x:c r="H176" s="37"/>
      <x:c r="I176" s="37"/>
      <x:c r="J176" s="41" t="n">
        <x:f>ROUND(IFERROR(AVERAGE(J152:J174),0),1)</x:f>
        <x:v>85.4</x:v>
      </x:c>
      <x:c r="K176" s="37"/>
    </x:row>
    <x:row r="178">
      <x:c r="A178" s="17" t="str">
        <x:v>8月</x:v>
      </x:c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</x:row>
    <x:row r="179">
      <x:c r="A179" s="20" t="str">
        <x:v>序号</x:v>
      </x:c>
      <x:c r="B179" s="20" t="str">
        <x:v>星期</x:v>
      </x:c>
      <x:c r="C179" s="20" t="str">
        <x:v>日期</x:v>
      </x:c>
      <x:c r="D179" s="20" t="str">
        <x:v>开盘</x:v>
      </x:c>
      <x:c r="E179" s="20" t="str">
        <x:v>高点</x:v>
      </x:c>
      <x:c r="F179" s="20" t="str">
        <x:v>低点</x:v>
      </x:c>
      <x:c r="G179" s="20" t="str">
        <x:v>收盘</x:v>
      </x:c>
      <x:c r="H179" s="20" t="str">
        <x:v>涨跌点数</x:v>
      </x:c>
      <x:c r="I179" s="20" t="str">
        <x:v>涨幅</x:v>
      </x:c>
      <x:c r="J179" s="20" t="str">
        <x:v>振幅</x:v>
      </x:c>
      <x:c r="K179" s="20" t="str">
        <x:v>标的</x:v>
      </x:c>
    </x:row>
    <x:row r="180">
      <x:c r="A180" s="23" t="n">
        <x:v>1</x:v>
      </x:c>
      <x:c r="B180" s="23" t="str">
        <x:v>周五</x:v>
      </x:c>
      <x:c r="C180" s="23" t="str">
        <x:v>8月1日</x:v>
      </x:c>
      <x:c r="D180" s="24" t="n">
        <x:v>6554.6</x:v>
      </x:c>
      <x:c r="E180" s="24" t="n">
        <x:v>6594.6</x:v>
      </x:c>
      <x:c r="F180" s="24" t="n">
        <x:v>6507</x:v>
      </x:c>
      <x:c r="G180" s="24" t="n">
        <x:v>6542.8</x:v>
      </x:c>
      <x:c r="H180" s="24"/>
      <x:c r="I180" s="25" t="n">
        <x:v>0.0007341694707863056</x:v>
      </x:c>
      <x:c r="J180" s="24" t="n">
        <x:f>ROUND(E180-F180,1)</x:f>
        <x:v>87.6</x:v>
      </x:c>
      <x:c r="K180" s="23" t="str">
        <x:v>IM2509</x:v>
      </x:c>
    </x:row>
    <x:row r="181">
      <x:c r="A181" s="23" t="n">
        <x:v>2</x:v>
      </x:c>
      <x:c r="B181" s="23" t="str">
        <x:v>周一</x:v>
      </x:c>
      <x:c r="C181" s="23" t="str">
        <x:v>8月4日</x:v>
      </x:c>
      <x:c r="D181" s="24" t="n">
        <x:v>6528</x:v>
      </x:c>
      <x:c r="E181" s="24" t="n">
        <x:v>6644</x:v>
      </x:c>
      <x:c r="F181" s="24" t="n">
        <x:v>6512.2</x:v>
      </x:c>
      <x:c r="G181" s="24" t="n">
        <x:v>6642.6</x:v>
      </x:c>
      <x:c r="H181" s="24"/>
      <x:c r="I181" s="25" t="n">
        <x:v>0.015253408326710405</x:v>
      </x:c>
      <x:c r="J181" s="24" t="n">
        <x:f>ROUND(E181-F181,1)</x:f>
        <x:v>131.8</x:v>
      </x:c>
      <x:c r="K181" s="23" t="str">
        <x:v>IM2509</x:v>
      </x:c>
    </x:row>
    <x:row r="182">
      <x:c r="A182" s="23" t="n">
        <x:v>3</x:v>
      </x:c>
      <x:c r="B182" s="23" t="str">
        <x:v>周二</x:v>
      </x:c>
      <x:c r="C182" s="23" t="str">
        <x:v>8月5日</x:v>
      </x:c>
      <x:c r="D182" s="24" t="n">
        <x:v>6658</x:v>
      </x:c>
      <x:c r="E182" s="24" t="n">
        <x:v>6685</x:v>
      </x:c>
      <x:c r="F182" s="24" t="n">
        <x:v>6631</x:v>
      </x:c>
      <x:c r="G182" s="24" t="n">
        <x:v>6682</x:v>
      </x:c>
      <x:c r="H182" s="24"/>
      <x:c r="I182" s="25" t="n">
        <x:v>0.005931412398759495</x:v>
      </x:c>
      <x:c r="J182" s="24" t="n">
        <x:f>ROUND(E182-F182,1)</x:f>
        <x:v>54</x:v>
      </x:c>
      <x:c r="K182" s="23" t="str">
        <x:v>IM2509</x:v>
      </x:c>
    </x:row>
    <x:row r="183">
      <x:c r="A183" s="23" t="n">
        <x:v>4</x:v>
      </x:c>
      <x:c r="B183" s="23" t="str">
        <x:v>周三</x:v>
      </x:c>
      <x:c r="C183" s="23" t="str">
        <x:v>8月6日</x:v>
      </x:c>
      <x:c r="D183" s="24" t="n">
        <x:v>6674</x:v>
      </x:c>
      <x:c r="E183" s="24" t="n">
        <x:v>6785</x:v>
      </x:c>
      <x:c r="F183" s="24" t="n">
        <x:v>6668</x:v>
      </x:c>
      <x:c r="G183" s="24" t="n">
        <x:v>6762.6</x:v>
      </x:c>
      <x:c r="H183" s="24"/>
      <x:c r="I183" s="25" t="n">
        <x:v>0.012062256809338479</x:v>
      </x:c>
      <x:c r="J183" s="24" t="n">
        <x:f>ROUND(E183-F183,1)</x:f>
        <x:v>117</x:v>
      </x:c>
      <x:c r="K183" s="23" t="str">
        <x:v>IM2509</x:v>
      </x:c>
    </x:row>
    <x:row r="184">
      <x:c r="A184" s="23" t="n">
        <x:v>5</x:v>
      </x:c>
      <x:c r="B184" s="23" t="str">
        <x:v>周四</x:v>
      </x:c>
      <x:c r="C184" s="23" t="str">
        <x:v>8月7日</x:v>
      </x:c>
      <x:c r="D184" s="24" t="n">
        <x:v>6768.8</x:v>
      </x:c>
      <x:c r="E184" s="24" t="n">
        <x:v>6794.6</x:v>
      </x:c>
      <x:c r="F184" s="24" t="n">
        <x:v>6711</x:v>
      </x:c>
      <x:c r="G184" s="24" t="n">
        <x:v>6750</x:v>
      </x:c>
      <x:c r="H184" s="24"/>
      <x:c r="I184" s="25" t="n">
        <x:v>-0.0018631887143998327</x:v>
      </x:c>
      <x:c r="J184" s="24" t="n">
        <x:f>ROUND(E184-F184,1)</x:f>
        <x:v>83.6</x:v>
      </x:c>
      <x:c r="K184" s="23" t="str">
        <x:v>IM2509</x:v>
      </x:c>
    </x:row>
    <x:row r="185">
      <x:c r="A185" s="23" t="n">
        <x:v>6</x:v>
      </x:c>
      <x:c r="B185" s="23" t="str">
        <x:v>周五</x:v>
      </x:c>
      <x:c r="C185" s="23" t="str">
        <x:v>8月8日</x:v>
      </x:c>
      <x:c r="D185" s="24" t="n">
        <x:v>6740</x:v>
      </x:c>
      <x:c r="E185" s="24" t="n">
        <x:v>6760.8</x:v>
      </x:c>
      <x:c r="F185" s="24" t="n">
        <x:v>6705.4</x:v>
      </x:c>
      <x:c r="G185" s="24" t="n">
        <x:v>6735</x:v>
      </x:c>
      <x:c r="H185" s="24"/>
      <x:c r="I185" s="25" t="n">
        <x:v>-0.0022222222222222365</x:v>
      </x:c>
      <x:c r="J185" s="24" t="n">
        <x:f>ROUND(E185-F185,1)</x:f>
        <x:v>55.4</x:v>
      </x:c>
      <x:c r="K185" s="23" t="str">
        <x:v>IM2509</x:v>
      </x:c>
    </x:row>
    <x:row r="186">
      <x:c r="A186" s="23" t="n">
        <x:v>7</x:v>
      </x:c>
      <x:c r="B186" s="23" t="str">
        <x:v>周一</x:v>
      </x:c>
      <x:c r="C186" s="23" t="str">
        <x:v>8月11日</x:v>
      </x:c>
      <x:c r="D186" s="24" t="n">
        <x:v>6759.8</x:v>
      </x:c>
      <x:c r="E186" s="24" t="n">
        <x:v>6888</x:v>
      </x:c>
      <x:c r="F186" s="24" t="n">
        <x:v>6756.2</x:v>
      </x:c>
      <x:c r="G186" s="24" t="n">
        <x:v>6851.2</x:v>
      </x:c>
      <x:c r="H186" s="24"/>
      <x:c r="I186" s="25" t="n">
        <x:v>0.01725315515961401</x:v>
      </x:c>
      <x:c r="J186" s="24" t="n">
        <x:f>ROUND(E186-F186,1)</x:f>
        <x:v>131.8</x:v>
      </x:c>
      <x:c r="K186" s="23" t="str">
        <x:v>IM2509</x:v>
      </x:c>
    </x:row>
    <x:row r="187">
      <x:c r="A187" s="23" t="n">
        <x:v>8</x:v>
      </x:c>
      <x:c r="B187" s="23" t="str">
        <x:v>周二</x:v>
      </x:c>
      <x:c r="C187" s="23" t="str">
        <x:v>8月12日</x:v>
      </x:c>
      <x:c r="D187" s="24" t="n">
        <x:v>6852.2</x:v>
      </x:c>
      <x:c r="E187" s="24" t="n">
        <x:v>6891.8</x:v>
      </x:c>
      <x:c r="F187" s="24" t="n">
        <x:v>6824.2</x:v>
      </x:c>
      <x:c r="G187" s="24" t="n">
        <x:v>6883.6</x:v>
      </x:c>
      <x:c r="H187" s="24"/>
      <x:c r="I187" s="25" t="n">
        <x:v>0.004729098552078481</x:v>
      </x:c>
      <x:c r="J187" s="24" t="n">
        <x:f>ROUND(E187-F187,1)</x:f>
        <x:v>67.6</x:v>
      </x:c>
      <x:c r="K187" s="23" t="str">
        <x:v>IM2509</x:v>
      </x:c>
    </x:row>
    <x:row r="188">
      <x:c r="A188" s="23" t="n">
        <x:v>9</x:v>
      </x:c>
      <x:c r="B188" s="23" t="str">
        <x:v>周三</x:v>
      </x:c>
      <x:c r="C188" s="23" t="str">
        <x:v>8月13日</x:v>
      </x:c>
      <x:c r="D188" s="24" t="n">
        <x:v>6900.8</x:v>
      </x:c>
      <x:c r="E188" s="24" t="n">
        <x:v>7016</x:v>
      </x:c>
      <x:c r="F188" s="24" t="n">
        <x:v>6898.2</x:v>
      </x:c>
      <x:c r="G188" s="24" t="n">
        <x:v>7001.8</x:v>
      </x:c>
      <x:c r="H188" s="24"/>
      <x:c r="I188" s="25" t="n">
        <x:v>0.017171247602998374</x:v>
      </x:c>
      <x:c r="J188" s="24" t="n">
        <x:f>ROUND(E188-F188,1)</x:f>
        <x:v>117.8</x:v>
      </x:c>
      <x:c r="K188" s="23" t="str">
        <x:v>IM2509</x:v>
      </x:c>
    </x:row>
    <x:row r="189">
      <x:c r="A189" s="23" t="n">
        <x:v>10</x:v>
      </x:c>
      <x:c r="B189" s="23" t="str">
        <x:v>周四</x:v>
      </x:c>
      <x:c r="C189" s="23" t="str">
        <x:v>8月14日</x:v>
      </x:c>
      <x:c r="D189" s="24" t="n">
        <x:v>7015</x:v>
      </x:c>
      <x:c r="E189" s="24" t="n">
        <x:v>7027.8</x:v>
      </x:c>
      <x:c r="F189" s="24" t="n">
        <x:v>6893</x:v>
      </x:c>
      <x:c r="G189" s="24" t="n">
        <x:v>6929.2</x:v>
      </x:c>
      <x:c r="H189" s="24"/>
      <x:c r="I189" s="25" t="n">
        <x:v>-0.010368762318261115</x:v>
      </x:c>
      <x:c r="J189" s="24" t="n">
        <x:f>ROUND(E189-F189,1)</x:f>
        <x:v>134.8</x:v>
      </x:c>
      <x:c r="K189" s="23" t="str">
        <x:v>IM2509</x:v>
      </x:c>
    </x:row>
    <x:row r="190">
      <x:c r="A190" s="33" t="n">
        <x:v>11</x:v>
      </x:c>
      <x:c r="B190" s="33" t="str">
        <x:v>周五</x:v>
      </x:c>
      <x:c r="C190" s="33" t="str">
        <x:v>8月15日</x:v>
      </x:c>
      <x:c r="D190" s="34" t="n">
        <x:v>6929</x:v>
      </x:c>
      <x:c r="E190" s="34" t="n">
        <x:v>7086.8</x:v>
      </x:c>
      <x:c r="F190" s="34" t="n">
        <x:v>6918</x:v>
      </x:c>
      <x:c r="G190" s="34" t="n">
        <x:v>7086.2</x:v>
      </x:c>
      <x:c r="H190" s="34"/>
      <x:c r="I190" s="35" t="n">
        <x:v>0.02265773826704387</x:v>
      </x:c>
      <x:c r="J190" s="34" t="n">
        <x:f>ROUND(E190-F190,1)</x:f>
        <x:v>168.8</x:v>
      </x:c>
      <x:c r="K190" s="33" t="str">
        <x:v>IM2509</x:v>
      </x:c>
    </x:row>
    <x:row r="191">
      <x:c r="A191" s="23" t="n">
        <x:v>12</x:v>
      </x:c>
      <x:c r="B191" s="23" t="str">
        <x:v>周一</x:v>
      </x:c>
      <x:c r="C191" s="23" t="str">
        <x:v>8月18日</x:v>
      </x:c>
      <x:c r="D191" s="24" t="n">
        <x:v>7124</x:v>
      </x:c>
      <x:c r="E191" s="24" t="n">
        <x:v>7259.8</x:v>
      </x:c>
      <x:c r="F191" s="24" t="n">
        <x:v>7093.4</x:v>
      </x:c>
      <x:c r="G191" s="24" t="n">
        <x:v>7184.4</x:v>
      </x:c>
      <x:c r="H191" s="24"/>
      <x:c r="I191" s="25" t="n">
        <x:v>0.013857921029606812</x:v>
      </x:c>
      <x:c r="J191" s="24" t="n">
        <x:f>ROUND(E191-F191,1)</x:f>
        <x:v>166.4</x:v>
      </x:c>
      <x:c r="K191" s="23" t="str">
        <x:v>IM2509</x:v>
      </x:c>
    </x:row>
    <x:row r="192">
      <x:c r="A192" s="23" t="n">
        <x:v>13</x:v>
      </x:c>
      <x:c r="B192" s="23" t="str">
        <x:v>周二</x:v>
      </x:c>
      <x:c r="C192" s="23" t="str">
        <x:v>8月19日</x:v>
      </x:c>
      <x:c r="D192" s="24" t="n">
        <x:v>7184.4</x:v>
      </x:c>
      <x:c r="E192" s="24" t="n">
        <x:v>7235</x:v>
      </x:c>
      <x:c r="F192" s="24" t="n">
        <x:v>7155.6</x:v>
      </x:c>
      <x:c r="G192" s="24" t="n">
        <x:v>7177.4</x:v>
      </x:c>
      <x:c r="H192" s="24"/>
      <x:c r="I192" s="25" t="n">
        <x:v>-0.0009743332776571689</x:v>
      </x:c>
      <x:c r="J192" s="24" t="n">
        <x:f>ROUND(E192-F192,1)</x:f>
        <x:v>79.4</x:v>
      </x:c>
      <x:c r="K192" s="23" t="str">
        <x:v>IM2509</x:v>
      </x:c>
    </x:row>
    <x:row r="193">
      <x:c r="A193" s="23" t="n">
        <x:v>14</x:v>
      </x:c>
      <x:c r="B193" s="23" t="str">
        <x:v>周三</x:v>
      </x:c>
      <x:c r="C193" s="23" t="str">
        <x:v>8月20日</x:v>
      </x:c>
      <x:c r="D193" s="24" t="n">
        <x:v>7147.4</x:v>
      </x:c>
      <x:c r="E193" s="24" t="n">
        <x:v>7283</x:v>
      </x:c>
      <x:c r="F193" s="24" t="n">
        <x:v>7087.4</x:v>
      </x:c>
      <x:c r="G193" s="24" t="n">
        <x:v>7276</x:v>
      </x:c>
      <x:c r="H193" s="24"/>
      <x:c r="I193" s="25" t="n">
        <x:v>0.013737565135007124</x:v>
      </x:c>
      <x:c r="J193" s="29" t="n">
        <x:f>ROUND(E193-F193,1)</x:f>
        <x:v>195.6</x:v>
      </x:c>
      <x:c r="K193" s="23" t="str">
        <x:v>IM2509</x:v>
      </x:c>
    </x:row>
    <x:row r="194">
      <x:c r="A194" s="23" t="n">
        <x:v>15</x:v>
      </x:c>
      <x:c r="B194" s="23" t="str">
        <x:v>周四</x:v>
      </x:c>
      <x:c r="C194" s="23" t="str">
        <x:v>8月21日</x:v>
      </x:c>
      <x:c r="D194" s="24" t="n">
        <x:v>7295</x:v>
      </x:c>
      <x:c r="E194" s="24" t="n">
        <x:v>7312</x:v>
      </x:c>
      <x:c r="F194" s="24" t="n">
        <x:v>7156.2</x:v>
      </x:c>
      <x:c r="G194" s="24" t="n">
        <x:v>7202.2</x:v>
      </x:c>
      <x:c r="H194" s="24"/>
      <x:c r="I194" s="25" t="n">
        <x:v>-0.010142935678944531</x:v>
      </x:c>
      <x:c r="J194" s="24" t="n">
        <x:f>ROUND(E194-F194,1)</x:f>
        <x:v>155.8</x:v>
      </x:c>
      <x:c r="K194" s="23" t="str">
        <x:v>IM2509</x:v>
      </x:c>
    </x:row>
    <x:row r="195">
      <x:c r="A195" s="23" t="n">
        <x:v>16</x:v>
      </x:c>
      <x:c r="B195" s="23" t="str">
        <x:v>周五</x:v>
      </x:c>
      <x:c r="C195" s="23" t="str">
        <x:v>8月22日</x:v>
      </x:c>
      <x:c r="D195" s="24" t="n">
        <x:v>7210</x:v>
      </x:c>
      <x:c r="E195" s="24" t="n">
        <x:v>7349.8</x:v>
      </x:c>
      <x:c r="F195" s="24" t="n">
        <x:v>7210</x:v>
      </x:c>
      <x:c r="G195" s="24" t="n">
        <x:v>7348.6</x:v>
      </x:c>
      <x:c r="H195" s="24"/>
      <x:c r="I195" s="25" t="n">
        <x:v>0.020327122268195996</x:v>
      </x:c>
      <x:c r="J195" s="24" t="n">
        <x:f>ROUND(E195-F195,1)</x:f>
        <x:v>139.8</x:v>
      </x:c>
      <x:c r="K195" s="23" t="str">
        <x:v>IM2509</x:v>
      </x:c>
    </x:row>
    <x:row r="196">
      <x:c r="A196" s="23" t="n">
        <x:v>17</x:v>
      </x:c>
      <x:c r="B196" s="23" t="str">
        <x:v>周一</x:v>
      </x:c>
      <x:c r="C196" s="23" t="str">
        <x:v>8月25日</x:v>
      </x:c>
      <x:c r="D196" s="24" t="n">
        <x:v>7400</x:v>
      </x:c>
      <x:c r="E196" s="24" t="n">
        <x:v>7495.4</x:v>
      </x:c>
      <x:c r="F196" s="24" t="n">
        <x:v>7362</x:v>
      </x:c>
      <x:c r="G196" s="24" t="n">
        <x:v>7412.2</x:v>
      </x:c>
      <x:c r="H196" s="24"/>
      <x:c r="I196" s="25" t="n">
        <x:v>0.008654709740630873</x:v>
      </x:c>
      <x:c r="J196" s="24" t="n">
        <x:f>ROUND(E196-F196,1)</x:f>
        <x:v>133.4</x:v>
      </x:c>
      <x:c r="K196" s="23" t="str">
        <x:v>IM2509</x:v>
      </x:c>
    </x:row>
    <x:row r="197">
      <x:c r="A197" s="23" t="n">
        <x:v>18</x:v>
      </x:c>
      <x:c r="B197" s="23" t="str">
        <x:v>周二</x:v>
      </x:c>
      <x:c r="C197" s="23" t="str">
        <x:v>8月26日</x:v>
      </x:c>
      <x:c r="D197" s="24" t="n">
        <x:v>7391.4</x:v>
      </x:c>
      <x:c r="E197" s="24" t="n">
        <x:v>7486.8</x:v>
      </x:c>
      <x:c r="F197" s="24" t="n">
        <x:v>7381.4</x:v>
      </x:c>
      <x:c r="G197" s="24" t="n">
        <x:v>7415.4</x:v>
      </x:c>
      <x:c r="H197" s="24"/>
      <x:c r="I197" s="25" t="n">
        <x:v>0.0004317206767221471</x:v>
      </x:c>
      <x:c r="J197" s="24" t="n">
        <x:f>ROUND(E197-F197,1)</x:f>
        <x:v>105.4</x:v>
      </x:c>
      <x:c r="K197" s="23" t="str">
        <x:v>IM2509</x:v>
      </x:c>
    </x:row>
    <x:row r="198">
      <x:c r="A198" s="23" t="n">
        <x:v>19</x:v>
      </x:c>
      <x:c r="B198" s="23" t="str">
        <x:v>周三</x:v>
      </x:c>
      <x:c r="C198" s="23" t="str">
        <x:v>8月27日</x:v>
      </x:c>
      <x:c r="D198" s="24" t="n">
        <x:v>7440</x:v>
      </x:c>
      <x:c r="E198" s="24" t="n">
        <x:v>7511.6</x:v>
      </x:c>
      <x:c r="F198" s="24" t="n">
        <x:v>7275.8</x:v>
      </x:c>
      <x:c r="G198" s="24" t="n">
        <x:v>7287.2</x:v>
      </x:c>
      <x:c r="H198" s="24"/>
      <x:c r="I198" s="25" t="n">
        <x:v>-0.017288345874801103</x:v>
      </x:c>
      <x:c r="J198" s="29" t="n">
        <x:f>ROUND(E198-F198,1)</x:f>
        <x:v>235.8</x:v>
      </x:c>
      <x:c r="K198" s="23" t="str">
        <x:v>IM2509</x:v>
      </x:c>
    </x:row>
    <x:row r="199">
      <x:c r="A199" s="23" t="n">
        <x:v>20</x:v>
      </x:c>
      <x:c r="B199" s="23" t="str">
        <x:v>周四</x:v>
      </x:c>
      <x:c r="C199" s="23" t="str">
        <x:v>8月28日</x:v>
      </x:c>
      <x:c r="D199" s="24" t="n">
        <x:v>7310</x:v>
      </x:c>
      <x:c r="E199" s="24" t="n">
        <x:v>7385</x:v>
      </x:c>
      <x:c r="F199" s="24" t="n">
        <x:v>7160.2</x:v>
      </x:c>
      <x:c r="G199" s="24" t="n">
        <x:v>7363.2</x:v>
      </x:c>
      <x:c r="H199" s="24"/>
      <x:c r="I199" s="25" t="n">
        <x:v>0.010429245800856357</x:v>
      </x:c>
      <x:c r="J199" s="29" t="n">
        <x:f>ROUND(E199-F199,1)</x:f>
        <x:v>224.8</x:v>
      </x:c>
      <x:c r="K199" s="23" t="str">
        <x:v>IM2509</x:v>
      </x:c>
    </x:row>
    <x:row r="200">
      <x:c r="A200" s="23" t="n">
        <x:v>21</x:v>
      </x:c>
      <x:c r="B200" s="23" t="str">
        <x:v>周五</x:v>
      </x:c>
      <x:c r="C200" s="23" t="str">
        <x:v>8月29日</x:v>
      </x:c>
      <x:c r="D200" s="24" t="n">
        <x:v>7357.8</x:v>
      </x:c>
      <x:c r="E200" s="24" t="n">
        <x:v>7419.8</x:v>
      </x:c>
      <x:c r="F200" s="24" t="n">
        <x:v>7280</x:v>
      </x:c>
      <x:c r="G200" s="24" t="n">
        <x:v>7366.6</x:v>
      </x:c>
      <x:c r="H200" s="24"/>
      <x:c r="I200" s="25" t="n">
        <x:v>0.00046175575836593374</x:v>
      </x:c>
      <x:c r="J200" s="24" t="n">
        <x:f>ROUND(E200-F200,1)</x:f>
        <x:v>139.8</x:v>
      </x:c>
      <x:c r="K200" s="23" t="str">
        <x:v>IM2509</x:v>
      </x:c>
    </x:row>
    <x:row r="201">
      <x:c r="A201" s="38" t="str">
        <x:v>合计</x:v>
      </x:c>
      <x:c r="B201" s="37" t="n">
        <x:v>21</x:v>
      </x:c>
      <x:c r="C201" s="37"/>
      <x:c r="D201" s="37"/>
      <x:c r="E201" s="37"/>
      <x:c r="F201" s="37"/>
      <x:c r="G201" s="37"/>
      <x:c r="H201" s="37"/>
      <x:c r="I201" s="37"/>
      <x:c r="J201" s="39" t="n">
        <x:f>ROUND(SUM(J180:J200),1)</x:f>
        <x:v>2726.4</x:v>
      </x:c>
      <x:c r="K201" s="37"/>
    </x:row>
    <x:row r="202">
      <x:c r="A202" s="38" t="str">
        <x:v>均值</x:v>
      </x:c>
      <x:c r="B202" s="37"/>
      <x:c r="C202" s="37"/>
      <x:c r="D202" s="37"/>
      <x:c r="E202" s="37"/>
      <x:c r="F202" s="37"/>
      <x:c r="G202" s="37"/>
      <x:c r="H202" s="37"/>
      <x:c r="I202" s="37"/>
      <x:c r="J202" s="41" t="n">
        <x:f>ROUND(IFERROR(AVERAGE(J180:J200),0),1)</x:f>
        <x:v>129.8</x:v>
      </x:c>
      <x:c r="K202" s="37"/>
    </x:row>
    <x:row r="204">
      <x:c r="A204" s="17" t="str">
        <x:v>9月</x:v>
      </x:c>
      <x:c r="B204" s="17"/>
      <x:c r="C204" s="17"/>
      <x:c r="D204" s="17"/>
      <x:c r="E204" s="17"/>
      <x:c r="F204" s="17"/>
      <x:c r="G204" s="17"/>
      <x:c r="H204" s="17"/>
      <x:c r="I204" s="17"/>
      <x:c r="J204" s="17"/>
      <x:c r="K204" s="17"/>
    </x:row>
    <x:row r="205">
      <x:c r="A205" s="20" t="str">
        <x:v>序号</x:v>
      </x:c>
      <x:c r="B205" s="20" t="str">
        <x:v>星期</x:v>
      </x:c>
      <x:c r="C205" s="20" t="str">
        <x:v>日期</x:v>
      </x:c>
      <x:c r="D205" s="20" t="str">
        <x:v>开盘</x:v>
      </x:c>
      <x:c r="E205" s="20" t="str">
        <x:v>高点</x:v>
      </x:c>
      <x:c r="F205" s="20" t="str">
        <x:v>低点</x:v>
      </x:c>
      <x:c r="G205" s="20" t="str">
        <x:v>收盘</x:v>
      </x:c>
      <x:c r="H205" s="20" t="str">
        <x:v>涨跌点数</x:v>
      </x:c>
      <x:c r="I205" s="20" t="str">
        <x:v>涨幅</x:v>
      </x:c>
      <x:c r="J205" s="20" t="str">
        <x:v>振幅</x:v>
      </x:c>
      <x:c r="K205" s="20" t="str">
        <x:v>标的</x:v>
      </x:c>
    </x:row>
    <x:row r="206">
      <x:c r="A206" s="23" t="n">
        <x:v>1</x:v>
      </x:c>
      <x:c r="B206" s="23" t="str">
        <x:v>周一</x:v>
      </x:c>
      <x:c r="C206" s="23" t="str">
        <x:v>9月1日</x:v>
      </x:c>
      <x:c r="D206" s="24" t="n">
        <x:v>7400</x:v>
      </x:c>
      <x:c r="E206" s="24" t="n">
        <x:v>7445.8</x:v>
      </x:c>
      <x:c r="F206" s="24" t="n">
        <x:v>7329.4</x:v>
      </x:c>
      <x:c r="G206" s="24" t="n">
        <x:v>7380.6</x:v>
      </x:c>
      <x:c r="H206" s="24"/>
      <x:c r="I206" s="25" t="n">
        <x:v>0.0019004696875084548</x:v>
      </x:c>
      <x:c r="J206" s="24" t="n">
        <x:f>ROUND(E206-F206,1)</x:f>
        <x:v>116.4</x:v>
      </x:c>
      <x:c r="K206" s="23" t="str">
        <x:v>IM2509</x:v>
      </x:c>
    </x:row>
    <x:row r="207">
      <x:c r="A207" s="23" t="n">
        <x:v>2</x:v>
      </x:c>
      <x:c r="B207" s="23" t="str">
        <x:v>周二</x:v>
      </x:c>
      <x:c r="C207" s="23" t="str">
        <x:v>9月2日</x:v>
      </x:c>
      <x:c r="D207" s="24" t="n">
        <x:v>7383.2</x:v>
      </x:c>
      <x:c r="E207" s="24" t="n">
        <x:v>7393.8</x:v>
      </x:c>
      <x:c r="F207" s="24" t="n">
        <x:v>7182.4</x:v>
      </x:c>
      <x:c r="G207" s="24" t="n">
        <x:v>7251.4</x:v>
      </x:c>
      <x:c r="H207" s="24"/>
      <x:c r="I207" s="25" t="n">
        <x:v>-0.017505351868411845</x:v>
      </x:c>
      <x:c r="J207" s="29" t="n">
        <x:f>ROUND(E207-F207,1)</x:f>
        <x:v>211.4</x:v>
      </x:c>
      <x:c r="K207" s="23" t="str">
        <x:v>IM2509</x:v>
      </x:c>
    </x:row>
    <x:row r="208">
      <x:c r="A208" s="23" t="n">
        <x:v>3</x:v>
      </x:c>
      <x:c r="B208" s="23" t="str">
        <x:v>周三</x:v>
      </x:c>
      <x:c r="C208" s="23" t="str">
        <x:v>9月3日</x:v>
      </x:c>
      <x:c r="D208" s="24" t="n">
        <x:v>7283.2</x:v>
      </x:c>
      <x:c r="E208" s="24" t="n">
        <x:v>7295.6</x:v>
      </x:c>
      <x:c r="F208" s="24" t="n">
        <x:v>7110.4</x:v>
      </x:c>
      <x:c r="G208" s="24" t="n">
        <x:v>7142.6</x:v>
      </x:c>
      <x:c r="H208" s="24"/>
      <x:c r="I208" s="25" t="n">
        <x:v>-0.01500399922773521</x:v>
      </x:c>
      <x:c r="J208" s="24" t="n">
        <x:f>ROUND(E208-F208,1)</x:f>
        <x:v>185.2</x:v>
      </x:c>
      <x:c r="K208" s="23" t="str">
        <x:v>IM2509</x:v>
      </x:c>
    </x:row>
    <x:row r="209">
      <x:c r="A209" s="23" t="n">
        <x:v>4</x:v>
      </x:c>
      <x:c r="B209" s="23" t="str">
        <x:v>周四</x:v>
      </x:c>
      <x:c r="C209" s="23" t="str">
        <x:v>9月4日</x:v>
      </x:c>
      <x:c r="D209" s="24" t="n">
        <x:v>7168</x:v>
      </x:c>
      <x:c r="E209" s="24" t="n">
        <x:v>7205</x:v>
      </x:c>
      <x:c r="F209" s="24" t="n">
        <x:v>6910</x:v>
      </x:c>
      <x:c r="G209" s="24" t="n">
        <x:v>7003</x:v>
      </x:c>
      <x:c r="H209" s="24"/>
      <x:c r="I209" s="25" t="n">
        <x:v>-0.019544703609330027</x:v>
      </x:c>
      <x:c r="J209" s="29" t="n">
        <x:f>ROUND(E209-F209,1)</x:f>
        <x:v>295</x:v>
      </x:c>
      <x:c r="K209" s="23" t="str">
        <x:v>IM2509</x:v>
      </x:c>
    </x:row>
    <x:row r="210">
      <x:c r="A210" s="23" t="n">
        <x:v>5</x:v>
      </x:c>
      <x:c r="B210" s="23" t="str">
        <x:v>周五</x:v>
      </x:c>
      <x:c r="C210" s="23" t="str">
        <x:v>9月5日</x:v>
      </x:c>
      <x:c r="D210" s="24" t="n">
        <x:v>7021.4</x:v>
      </x:c>
      <x:c r="E210" s="24" t="n">
        <x:v>7234.8</x:v>
      </x:c>
      <x:c r="F210" s="24" t="n">
        <x:v>6997.6</x:v>
      </x:c>
      <x:c r="G210" s="24" t="n">
        <x:v>7226</x:v>
      </x:c>
      <x:c r="H210" s="24"/>
      <x:c r="I210" s="25" t="n">
        <x:v>0.031843495644723774</x:v>
      </x:c>
      <x:c r="J210" s="29" t="n">
        <x:f>ROUND(E210-F210,1)</x:f>
        <x:v>237.2</x:v>
      </x:c>
      <x:c r="K210" s="23" t="str">
        <x:v>IM2509</x:v>
      </x:c>
    </x:row>
    <x:row r="211">
      <x:c r="A211" s="23" t="n">
        <x:v>6</x:v>
      </x:c>
      <x:c r="B211" s="23" t="str">
        <x:v>周一</x:v>
      </x:c>
      <x:c r="C211" s="23" t="str">
        <x:v>9月8日</x:v>
      </x:c>
      <x:c r="D211" s="24" t="n">
        <x:v>7221</x:v>
      </x:c>
      <x:c r="E211" s="24" t="n">
        <x:v>7278.6</x:v>
      </x:c>
      <x:c r="F211" s="24" t="n">
        <x:v>7163.4</x:v>
      </x:c>
      <x:c r="G211" s="24" t="n">
        <x:v>7236</x:v>
      </x:c>
      <x:c r="H211" s="24"/>
      <x:c r="I211" s="25" t="n">
        <x:v>0.001383891502906076</x:v>
      </x:c>
      <x:c r="J211" s="24" t="n">
        <x:f>ROUND(E211-F211,1)</x:f>
        <x:v>115.2</x:v>
      </x:c>
      <x:c r="K211" s="23" t="str">
        <x:v>IM2509</x:v>
      </x:c>
    </x:row>
    <x:row r="212">
      <x:c r="A212" s="23" t="n">
        <x:v>7</x:v>
      </x:c>
      <x:c r="B212" s="23" t="str">
        <x:v>周二</x:v>
      </x:c>
      <x:c r="C212" s="23" t="str">
        <x:v>9月9日</x:v>
      </x:c>
      <x:c r="D212" s="24" t="n">
        <x:v>7215</x:v>
      </x:c>
      <x:c r="E212" s="24" t="n">
        <x:v>7263</x:v>
      </x:c>
      <x:c r="F212" s="24" t="n">
        <x:v>7117.2</x:v>
      </x:c>
      <x:c r="G212" s="24" t="n">
        <x:v>7165.8</x:v>
      </x:c>
      <x:c r="H212" s="24"/>
      <x:c r="I212" s="25" t="n">
        <x:v>-0.00970149253731345</x:v>
      </x:c>
      <x:c r="J212" s="24" t="n">
        <x:f>ROUND(E212-F212,1)</x:f>
        <x:v>145.8</x:v>
      </x:c>
      <x:c r="K212" s="23" t="str">
        <x:v>IM2509</x:v>
      </x:c>
    </x:row>
    <x:row r="213">
      <x:c r="A213" s="23" t="n">
        <x:v>8</x:v>
      </x:c>
      <x:c r="B213" s="23" t="str">
        <x:v>周三</x:v>
      </x:c>
      <x:c r="C213" s="23" t="str">
        <x:v>9月10日</x:v>
      </x:c>
      <x:c r="D213" s="24" t="n">
        <x:v>7176.8</x:v>
      </x:c>
      <x:c r="E213" s="24" t="n">
        <x:v>7268.8</x:v>
      </x:c>
      <x:c r="F213" s="24" t="n">
        <x:v>7138</x:v>
      </x:c>
      <x:c r="G213" s="24" t="n">
        <x:v>7151</x:v>
      </x:c>
      <x:c r="H213" s="24"/>
      <x:c r="I213" s="25" t="n">
        <x:v>-0.0020653660442658817</x:v>
      </x:c>
      <x:c r="J213" s="24" t="n">
        <x:f>ROUND(E213-F213,1)</x:f>
        <x:v>130.8</x:v>
      </x:c>
      <x:c r="K213" s="23" t="str">
        <x:v>IM2509</x:v>
      </x:c>
    </x:row>
    <x:row r="214">
      <x:c r="A214" s="23" t="n">
        <x:v>9</x:v>
      </x:c>
      <x:c r="B214" s="23" t="str">
        <x:v>周四</x:v>
      </x:c>
      <x:c r="C214" s="23" t="str">
        <x:v>9月11日</x:v>
      </x:c>
      <x:c r="D214" s="24" t="n">
        <x:v>7144</x:v>
      </x:c>
      <x:c r="E214" s="24" t="n">
        <x:v>7391.8</x:v>
      </x:c>
      <x:c r="F214" s="24" t="n">
        <x:v>7090</x:v>
      </x:c>
      <x:c r="G214" s="24" t="n">
        <x:v>7387.8</x:v>
      </x:c>
      <x:c r="H214" s="24"/>
      <x:c r="I214" s="25" t="n">
        <x:v>0.03311424975527899</x:v>
      </x:c>
      <x:c r="J214" s="29" t="n">
        <x:f>ROUND(E214-F214,1)</x:f>
        <x:v>301.8</x:v>
      </x:c>
      <x:c r="K214" s="23" t="str">
        <x:v>IM2509</x:v>
      </x:c>
    </x:row>
    <x:row r="215">
      <x:c r="A215" s="23" t="n">
        <x:v>10</x:v>
      </x:c>
      <x:c r="B215" s="23" t="str">
        <x:v>周五</x:v>
      </x:c>
      <x:c r="C215" s="23" t="str">
        <x:v>9月12日</x:v>
      </x:c>
      <x:c r="D215" s="24" t="n">
        <x:v>7387</x:v>
      </x:c>
      <x:c r="E215" s="24" t="n">
        <x:v>7448</x:v>
      </x:c>
      <x:c r="F215" s="24" t="n">
        <x:v>7366</x:v>
      </x:c>
      <x:c r="G215" s="24" t="n">
        <x:v>7392.8</x:v>
      </x:c>
      <x:c r="H215" s="24"/>
      <x:c r="I215" s="25" t="n">
        <x:v>0.0006767914670131603</x:v>
      </x:c>
      <x:c r="J215" s="24" t="n">
        <x:f>ROUND(E215-F215,1)</x:f>
        <x:v>82</x:v>
      </x:c>
      <x:c r="K215" s="23" t="str">
        <x:v>IM2509</x:v>
      </x:c>
    </x:row>
    <x:row r="216">
      <x:c r="A216" s="23" t="n">
        <x:v>11</x:v>
      </x:c>
      <x:c r="B216" s="23" t="str">
        <x:v>周一</x:v>
      </x:c>
      <x:c r="C216" s="23" t="str">
        <x:v>9月15日</x:v>
      </x:c>
      <x:c r="D216" s="24" t="n">
        <x:v>7420</x:v>
      </x:c>
      <x:c r="E216" s="24" t="n">
        <x:v>7429.8</x:v>
      </x:c>
      <x:c r="F216" s="24" t="n">
        <x:v>7365</x:v>
      </x:c>
      <x:c r="G216" s="24" t="n">
        <x:v>7368.6</x:v>
      </x:c>
      <x:c r="H216" s="24"/>
      <x:c r="I216" s="25" t="n">
        <x:v>-0.0032734552537604378</x:v>
      </x:c>
      <x:c r="J216" s="24" t="n">
        <x:f>ROUND(E216-F216,1)</x:f>
        <x:v>64.8</x:v>
      </x:c>
      <x:c r="K216" s="23" t="str">
        <x:v>IM2509</x:v>
      </x:c>
    </x:row>
    <x:row r="217">
      <x:c r="A217" s="23" t="n">
        <x:v>12</x:v>
      </x:c>
      <x:c r="B217" s="23" t="str">
        <x:v>周二</x:v>
      </x:c>
      <x:c r="C217" s="23" t="str">
        <x:v>9月16日</x:v>
      </x:c>
      <x:c r="D217" s="24" t="n">
        <x:v>7391</x:v>
      </x:c>
      <x:c r="E217" s="24" t="n">
        <x:v>7474.2</x:v>
      </x:c>
      <x:c r="F217" s="24" t="n">
        <x:v>7329.2</x:v>
      </x:c>
      <x:c r="G217" s="24" t="n">
        <x:v>7462</x:v>
      </x:c>
      <x:c r="H217" s="24"/>
      <x:c r="I217" s="25" t="n">
        <x:v>-0.01712672692234629</x:v>
      </x:c>
      <x:c r="J217" s="24" t="n">
        <x:f>ROUND(E217-F217,1)</x:f>
        <x:v>145</x:v>
      </x:c>
      <x:c r="K217" s="23" t="str">
        <x:v>IM2509</x:v>
      </x:c>
    </x:row>
    <x:row r="218">
      <x:c r="A218" s="23" t="n">
        <x:v>13</x:v>
      </x:c>
      <x:c r="B218" s="23" t="str">
        <x:v>周三</x:v>
      </x:c>
      <x:c r="C218" s="23" t="str">
        <x:v>9月17日</x:v>
      </x:c>
      <x:c r="D218" s="24" t="n">
        <x:v>7453</x:v>
      </x:c>
      <x:c r="E218" s="24" t="n">
        <x:v>7565</x:v>
      </x:c>
      <x:c r="F218" s="24" t="n">
        <x:v>7431</x:v>
      </x:c>
      <x:c r="G218" s="24" t="n">
        <x:v>7547</x:v>
      </x:c>
      <x:c r="H218" s="24"/>
      <x:c r="I218" s="25" t="n">
        <x:v>0.012316359217938944</x:v>
      </x:c>
      <x:c r="J218" s="24" t="n">
        <x:f>ROUND(E218-F218,1)</x:f>
        <x:v>134</x:v>
      </x:c>
      <x:c r="K218" s="23" t="str">
        <x:v>IM2509</x:v>
      </x:c>
    </x:row>
    <x:row r="219">
      <x:c r="A219" s="23" t="n">
        <x:v>14</x:v>
      </x:c>
      <x:c r="B219" s="23" t="str">
        <x:v>周四</x:v>
      </x:c>
      <x:c r="C219" s="23" t="str">
        <x:v>9月18日</x:v>
      </x:c>
      <x:c r="D219" s="24" t="n">
        <x:v>7520</x:v>
      </x:c>
      <x:c r="E219" s="24" t="n">
        <x:v>7660</x:v>
      </x:c>
      <x:c r="F219" s="24" t="n">
        <x:v>7371</x:v>
      </x:c>
      <x:c r="G219" s="24" t="n">
        <x:v>7454.8</x:v>
      </x:c>
      <x:c r="H219" s="24"/>
      <x:c r="I219" s="25" t="n">
        <x:v>-0.01612199247094781</x:v>
      </x:c>
      <x:c r="J219" s="29" t="n">
        <x:f>ROUND(E219-F219,1)</x:f>
        <x:v>289</x:v>
      </x:c>
      <x:c r="K219" s="23" t="str">
        <x:v>IM2509</x:v>
      </x:c>
    </x:row>
    <x:row r="220">
      <x:c r="A220" s="33" t="n">
        <x:v>15</x:v>
      </x:c>
      <x:c r="B220" s="33" t="str">
        <x:v>周五</x:v>
      </x:c>
      <x:c r="C220" s="33" t="str">
        <x:v>9月19日</x:v>
      </x:c>
      <x:c r="D220" s="34" t="n">
        <x:v>7461.4</x:v>
      </x:c>
      <x:c r="E220" s="34" t="n">
        <x:v>7513.8</x:v>
      </x:c>
      <x:c r="F220" s="34" t="n">
        <x:v>7425</x:v>
      </x:c>
      <x:c r="G220" s="34" t="n">
        <x:v>7448</x:v>
      </x:c>
      <x:c r="H220" s="34"/>
      <x:c r="I220" s="35" t="n">
        <x:v>-0.003133057919982196</x:v>
      </x:c>
      <x:c r="J220" s="34" t="n">
        <x:f>ROUND(E220-F220,1)</x:f>
        <x:v>88.8</x:v>
      </x:c>
      <x:c r="K220" s="33" t="str">
        <x:v>IM2509</x:v>
      </x:c>
    </x:row>
    <x:row r="221">
      <x:c r="A221" s="23" t="n">
        <x:v>16</x:v>
      </x:c>
      <x:c r="B221" s="23" t="str">
        <x:v>周一</x:v>
      </x:c>
      <x:c r="C221" s="23" t="str">
        <x:v>9月22日</x:v>
      </x:c>
      <x:c r="D221" s="24" t="n">
        <x:v>7209</x:v>
      </x:c>
      <x:c r="E221" s="24" t="n">
        <x:v>7238</x:v>
      </x:c>
      <x:c r="F221" s="24" t="n">
        <x:v>7144</x:v>
      </x:c>
      <x:c r="G221" s="24" t="n">
        <x:v>7230.2</x:v>
      </x:c>
      <x:c r="H221" s="24"/>
      <x:c r="I221" s="25" t="n">
        <x:v>0.005479223452188764</x:v>
      </x:c>
      <x:c r="J221" s="24" t="n">
        <x:f>ROUND(E221-F221,1)</x:f>
        <x:v>94</x:v>
      </x:c>
      <x:c r="K221" s="23" t="str">
        <x:v>IM2512</x:v>
      </x:c>
    </x:row>
    <x:row r="222">
      <x:c r="A222" s="23" t="n">
        <x:v>17</x:v>
      </x:c>
      <x:c r="B222" s="23" t="str">
        <x:v>周二</x:v>
      </x:c>
      <x:c r="C222" s="23" t="str">
        <x:v>9月23日</x:v>
      </x:c>
      <x:c r="D222" s="24" t="n">
        <x:v>7236.8</x:v>
      </x:c>
      <x:c r="E222" s="24" t="n">
        <x:v>7244.8</x:v>
      </x:c>
      <x:c r="F222" s="24" t="n">
        <x:v>6995.6</x:v>
      </x:c>
      <x:c r="G222" s="24" t="n">
        <x:v>7127</x:v>
      </x:c>
      <x:c r="H222" s="24"/>
      <x:c r="I222" s="25" t="n">
        <x:v>-0.014273464081214882</x:v>
      </x:c>
      <x:c r="J222" s="29" t="n">
        <x:f>ROUND(E222-F222,1)</x:f>
        <x:v>249.2</x:v>
      </x:c>
      <x:c r="K222" s="23" t="str">
        <x:v>IM2512</x:v>
      </x:c>
    </x:row>
    <x:row r="223">
      <x:c r="A223" s="23" t="n">
        <x:v>18</x:v>
      </x:c>
      <x:c r="B223" s="23" t="str">
        <x:v>周三</x:v>
      </x:c>
      <x:c r="C223" s="23" t="str">
        <x:v>9月24日</x:v>
      </x:c>
      <x:c r="D223" s="24" t="n">
        <x:v>7100</x:v>
      </x:c>
      <x:c r="E223" s="24" t="n">
        <x:v>7313.8</x:v>
      </x:c>
      <x:c r="F223" s="24" t="n">
        <x:v>7087</x:v>
      </x:c>
      <x:c r="G223" s="24" t="n">
        <x:v>7303.2</x:v>
      </x:c>
      <x:c r="H223" s="24"/>
      <x:c r="I223" s="25" t="n">
        <x:v>0.024722884804265544</x:v>
      </x:c>
      <x:c r="J223" s="29" t="n">
        <x:f>ROUND(E223-F223,1)</x:f>
        <x:v>226.8</x:v>
      </x:c>
      <x:c r="K223" s="23" t="str">
        <x:v>IM2512</x:v>
      </x:c>
    </x:row>
    <x:row r="224">
      <x:c r="A224" s="23" t="n">
        <x:v>19</x:v>
      </x:c>
      <x:c r="B224" s="23" t="str">
        <x:v>周四</x:v>
      </x:c>
      <x:c r="C224" s="23" t="str">
        <x:v>9月25日</x:v>
      </x:c>
      <x:c r="D224" s="24" t="n">
        <x:v>7290</x:v>
      </x:c>
      <x:c r="E224" s="24" t="n">
        <x:v>7342</x:v>
      </x:c>
      <x:c r="F224" s="24" t="n">
        <x:v>7251.8</x:v>
      </x:c>
      <x:c r="G224" s="24" t="n">
        <x:v>7281.8</x:v>
      </x:c>
      <x:c r="H224" s="24"/>
      <x:c r="I224" s="25" t="n">
        <x:v>-0.0029302223682768913</x:v>
      </x:c>
      <x:c r="J224" s="24" t="n">
        <x:f>ROUND(E224-F224,1)</x:f>
        <x:v>90.2</x:v>
      </x:c>
      <x:c r="K224" s="23" t="str">
        <x:v>IM2512</x:v>
      </x:c>
    </x:row>
    <x:row r="225">
      <x:c r="A225" s="23" t="n">
        <x:v>20</x:v>
      </x:c>
      <x:c r="B225" s="23" t="str">
        <x:v>周五</x:v>
      </x:c>
      <x:c r="C225" s="23" t="str">
        <x:v>9月26日</x:v>
      </x:c>
      <x:c r="D225" s="24" t="n">
        <x:v>7260</x:v>
      </x:c>
      <x:c r="E225" s="24" t="n">
        <x:v>7306</x:v>
      </x:c>
      <x:c r="F225" s="24" t="n">
        <x:v>7173</x:v>
      </x:c>
      <x:c r="G225" s="24" t="n">
        <x:v>7189.2</x:v>
      </x:c>
      <x:c r="H225" s="24"/>
      <x:c r="I225" s="25" t="n">
        <x:v>-0.012716635996594339</x:v>
      </x:c>
      <x:c r="J225" s="24" t="n">
        <x:f>ROUND(E225-F225,1)</x:f>
        <x:v>133</x:v>
      </x:c>
      <x:c r="K225" s="23" t="str">
        <x:v>IM2512</x:v>
      </x:c>
    </x:row>
    <x:row r="226">
      <x:c r="A226" s="23" t="n">
        <x:v>21</x:v>
      </x:c>
      <x:c r="B226" s="23" t="str">
        <x:v>周一</x:v>
      </x:c>
      <x:c r="C226" s="23" t="str">
        <x:v>9月29日</x:v>
      </x:c>
      <x:c r="D226" s="24" t="n">
        <x:v>7205</x:v>
      </x:c>
      <x:c r="E226" s="24" t="n">
        <x:v>7374.4</x:v>
      </x:c>
      <x:c r="F226" s="24" t="n">
        <x:v>7158.8</x:v>
      </x:c>
      <x:c r="G226" s="24" t="n">
        <x:v>7337.4</x:v>
      </x:c>
      <x:c r="H226" s="24"/>
      <x:c r="I226" s="25" t="n">
        <x:v>0.020614254715406455</x:v>
      </x:c>
      <x:c r="J226" s="29" t="n">
        <x:f>ROUND(E226-F226,1)</x:f>
        <x:v>215.6</x:v>
      </x:c>
      <x:c r="K226" s="23" t="str">
        <x:v>IM2512</x:v>
      </x:c>
    </x:row>
    <x:row r="227">
      <x:c r="A227" s="23" t="n">
        <x:v>22</x:v>
      </x:c>
      <x:c r="B227" s="23" t="str">
        <x:v>周二</x:v>
      </x:c>
      <x:c r="C227" s="23" t="str">
        <x:v>9月30日</x:v>
      </x:c>
      <x:c r="D227" s="24" t="n">
        <x:v>7360</x:v>
      </x:c>
      <x:c r="E227" s="24" t="n">
        <x:v>7434.4</x:v>
      </x:c>
      <x:c r="F227" s="24" t="n">
        <x:v>7347.4</x:v>
      </x:c>
      <x:c r="G227" s="24" t="n">
        <x:v>7406.2</x:v>
      </x:c>
      <x:c r="H227" s="24"/>
      <x:c r="I227" s="25" t="n">
        <x:v>0.009376618420694038</x:v>
      </x:c>
      <x:c r="J227" s="24" t="n">
        <x:f>ROUND(E227-F227,1)</x:f>
        <x:v>87</x:v>
      </x:c>
      <x:c r="K227" s="23" t="str">
        <x:v>IM2512</x:v>
      </x:c>
    </x:row>
    <x:row r="228">
      <x:c r="A228" s="38" t="str">
        <x:v>合计</x:v>
      </x:c>
      <x:c r="B228" s="37" t="n">
        <x:v>22</x:v>
      </x:c>
      <x:c r="C228" s="37"/>
      <x:c r="D228" s="37"/>
      <x:c r="E228" s="37"/>
      <x:c r="F228" s="37"/>
      <x:c r="G228" s="37"/>
      <x:c r="H228" s="37"/>
      <x:c r="I228" s="37"/>
      <x:c r="J228" s="39" t="n">
        <x:f>ROUND(SUM(J206:J227),1)</x:f>
        <x:v>3638.2</x:v>
      </x:c>
      <x:c r="K228" s="37"/>
    </x:row>
    <x:row r="229">
      <x:c r="A229" s="38" t="str">
        <x:v>均值</x:v>
      </x:c>
      <x:c r="B229" s="37"/>
      <x:c r="C229" s="37"/>
      <x:c r="D229" s="37"/>
      <x:c r="E229" s="37"/>
      <x:c r="F229" s="37"/>
      <x:c r="G229" s="37"/>
      <x:c r="H229" s="37"/>
      <x:c r="I229" s="37"/>
      <x:c r="J229" s="41" t="n">
        <x:f>ROUND(IFERROR(AVERAGE(J206:J227),0),1)</x:f>
        <x:v>165.4</x:v>
      </x:c>
      <x:c r="K229" s="37"/>
    </x:row>
    <x:row r="231">
      <x:c r="A231" s="17" t="str">
        <x:v>10月</x:v>
      </x:c>
      <x:c r="B231" s="17"/>
      <x:c r="C231" s="17"/>
      <x:c r="D231" s="17"/>
      <x:c r="E231" s="17"/>
      <x:c r="F231" s="17"/>
      <x:c r="G231" s="17"/>
      <x:c r="H231" s="17"/>
      <x:c r="I231" s="17"/>
      <x:c r="J231" s="17"/>
      <x:c r="K231" s="17"/>
    </x:row>
    <x:row r="232">
      <x:c r="A232" s="20" t="str">
        <x:v>序号</x:v>
      </x:c>
      <x:c r="B232" s="20" t="str">
        <x:v>星期</x:v>
      </x:c>
      <x:c r="C232" s="20" t="str">
        <x:v>日期</x:v>
      </x:c>
      <x:c r="D232" s="20" t="str">
        <x:v>开盘</x:v>
      </x:c>
      <x:c r="E232" s="20" t="str">
        <x:v>高点</x:v>
      </x:c>
      <x:c r="F232" s="20" t="str">
        <x:v>低点</x:v>
      </x:c>
      <x:c r="G232" s="20" t="str">
        <x:v>收盘</x:v>
      </x:c>
      <x:c r="H232" s="20" t="str">
        <x:v>涨跌点数</x:v>
      </x:c>
      <x:c r="I232" s="20" t="str">
        <x:v>涨幅</x:v>
      </x:c>
      <x:c r="J232" s="20" t="str">
        <x:v>振幅</x:v>
      </x:c>
      <x:c r="K232" s="20" t="str">
        <x:v>标的</x:v>
      </x:c>
    </x:row>
    <x:row r="233">
      <x:c r="A233" s="23" t="n">
        <x:v>1</x:v>
      </x:c>
      <x:c r="B233" s="23" t="str">
        <x:v>周四</x:v>
      </x:c>
      <x:c r="C233" s="23" t="str">
        <x:v>10月9日</x:v>
      </x:c>
      <x:c r="D233" s="24" t="n">
        <x:v>7444</x:v>
      </x:c>
      <x:c r="E233" s="24" t="n">
        <x:v>7519</x:v>
      </x:c>
      <x:c r="F233" s="24" t="n">
        <x:v>7413</x:v>
      </x:c>
      <x:c r="G233" s="24" t="n">
        <x:v>7449.6</x:v>
      </x:c>
      <x:c r="H233" s="24"/>
      <x:c r="I233" s="25" t="n">
        <x:v>0.005859955172693221</x:v>
      </x:c>
      <x:c r="J233" s="24" t="n">
        <x:f>ROUND(E233-F233,1)</x:f>
        <x:v>106</x:v>
      </x:c>
      <x:c r="K233" s="23" t="str">
        <x:v>IM2512</x:v>
      </x:c>
    </x:row>
    <x:row r="234">
      <x:c r="A234" s="23" t="n">
        <x:v>2</x:v>
      </x:c>
      <x:c r="B234" s="23" t="str">
        <x:v>周五</x:v>
      </x:c>
      <x:c r="C234" s="23" t="str">
        <x:v>10月10日</x:v>
      </x:c>
      <x:c r="D234" s="24" t="n">
        <x:v>7415</x:v>
      </x:c>
      <x:c r="E234" s="24" t="n">
        <x:v>7434</x:v>
      </x:c>
      <x:c r="F234" s="24" t="n">
        <x:v>7327</x:v>
      </x:c>
      <x:c r="G234" s="24" t="n">
        <x:v>7340.4</x:v>
      </x:c>
      <x:c r="H234" s="24"/>
      <x:c r="I234" s="25" t="n">
        <x:v>-0.01465850515463929</x:v>
      </x:c>
      <x:c r="J234" s="24" t="n">
        <x:f>ROUND(E234-F234,1)</x:f>
        <x:v>107</x:v>
      </x:c>
      <x:c r="K234" s="23" t="str">
        <x:v>IM2512</x:v>
      </x:c>
    </x:row>
    <x:row r="235">
      <x:c r="A235" s="23" t="n">
        <x:v>3</x:v>
      </x:c>
      <x:c r="B235" s="23" t="str">
        <x:v>周一</x:v>
      </x:c>
      <x:c r="C235" s="23" t="str">
        <x:v>10月13日</x:v>
      </x:c>
      <x:c r="D235" s="24" t="n">
        <x:v>7156</x:v>
      </x:c>
      <x:c r="E235" s="24" t="n">
        <x:v>7333</x:v>
      </x:c>
      <x:c r="F235" s="24" t="n">
        <x:v>7141.2</x:v>
      </x:c>
      <x:c r="G235" s="24" t="n">
        <x:v>7305.8</x:v>
      </x:c>
      <x:c r="H235" s="24"/>
      <x:c r="I235" s="25" t="n">
        <x:v>-0.004713639583673879</x:v>
      </x:c>
      <x:c r="J235" s="29" t="n">
        <x:f>ROUND(E235-F235,1)</x:f>
        <x:v>191.8</x:v>
      </x:c>
      <x:c r="K235" s="23" t="str">
        <x:v>IM2512</x:v>
      </x:c>
    </x:row>
    <x:row r="236">
      <x:c r="A236" s="23" t="n">
        <x:v>4</x:v>
      </x:c>
      <x:c r="B236" s="23" t="str">
        <x:v>周二</x:v>
      </x:c>
      <x:c r="C236" s="23" t="str">
        <x:v>10月14日</x:v>
      </x:c>
      <x:c r="D236" s="24" t="n">
        <x:v>7360</x:v>
      </x:c>
      <x:c r="E236" s="24" t="n">
        <x:v>7404</x:v>
      </x:c>
      <x:c r="F236" s="24" t="n">
        <x:v>7100</x:v>
      </x:c>
      <x:c r="G236" s="24" t="n">
        <x:v>7145.8</x:v>
      </x:c>
      <x:c r="H236" s="24"/>
      <x:c r="I236" s="25" t="n">
        <x:v>-0.021900407895097063</x:v>
      </x:c>
      <x:c r="J236" s="29" t="n">
        <x:f>ROUND(E236-F236,1)</x:f>
        <x:v>304</x:v>
      </x:c>
      <x:c r="K236" s="23" t="str">
        <x:v>IM2512</x:v>
      </x:c>
    </x:row>
    <x:row r="237">
      <x:c r="A237" s="23" t="n">
        <x:v>5</x:v>
      </x:c>
      <x:c r="B237" s="23" t="str">
        <x:v>周三</x:v>
      </x:c>
      <x:c r="C237" s="23" t="str">
        <x:v>10月15日</x:v>
      </x:c>
      <x:c r="D237" s="24" t="n">
        <x:v>7194.8</x:v>
      </x:c>
      <x:c r="E237" s="24" t="n">
        <x:v>7305</x:v>
      </x:c>
      <x:c r="F237" s="24" t="n">
        <x:v>7128</x:v>
      </x:c>
      <x:c r="G237" s="24" t="n">
        <x:v>7275.2</x:v>
      </x:c>
      <x:c r="H237" s="24"/>
      <x:c r="I237" s="25" t="n">
        <x:v>0.018108539281815883</x:v>
      </x:c>
      <x:c r="J237" s="24" t="n">
        <x:f>ROUND(E237-F237,1)</x:f>
        <x:v>177</x:v>
      </x:c>
      <x:c r="K237" s="23" t="str">
        <x:v>IM2512</x:v>
      </x:c>
    </x:row>
    <x:row r="238">
      <x:c r="A238" s="23" t="n">
        <x:v>6</x:v>
      </x:c>
      <x:c r="B238" s="23" t="str">
        <x:v>周四</x:v>
      </x:c>
      <x:c r="C238" s="23" t="str">
        <x:v>10月16日</x:v>
      </x:c>
      <x:c r="D238" s="24" t="n">
        <x:v>7255</x:v>
      </x:c>
      <x:c r="E238" s="24" t="n">
        <x:v>7269.8</x:v>
      </x:c>
      <x:c r="F238" s="24" t="n">
        <x:v>7161.2</x:v>
      </x:c>
      <x:c r="G238" s="24" t="n">
        <x:v>7205</x:v>
      </x:c>
      <x:c r="H238" s="24"/>
      <x:c r="I238" s="25" t="n">
        <x:v>-0.009649219265449704</x:v>
      </x:c>
      <x:c r="J238" s="24" t="n">
        <x:f>ROUND(E238-F238,1)</x:f>
        <x:v>108.6</x:v>
      </x:c>
      <x:c r="K238" s="23" t="str">
        <x:v>IM2512</x:v>
      </x:c>
    </x:row>
    <x:row r="239">
      <x:c r="A239" s="33" t="n">
        <x:v>7</x:v>
      </x:c>
      <x:c r="B239" s="33" t="str">
        <x:v>周五</x:v>
      </x:c>
      <x:c r="C239" s="33" t="str">
        <x:v>10月17日</x:v>
      </x:c>
      <x:c r="D239" s="34" t="n">
        <x:v>7204.8</x:v>
      </x:c>
      <x:c r="E239" s="34" t="n">
        <x:v>7238</x:v>
      </x:c>
      <x:c r="F239" s="34" t="n">
        <x:v>7002.2</x:v>
      </x:c>
      <x:c r="G239" s="34" t="n">
        <x:v>7020.8</x:v>
      </x:c>
      <x:c r="H239" s="34"/>
      <x:c r="I239" s="35" t="n">
        <x:v>-0.025565579458709187</x:v>
      </x:c>
      <x:c r="J239" s="29" t="n">
        <x:f>ROUND(E239-F239,1)</x:f>
        <x:v>235.8</x:v>
      </x:c>
      <x:c r="K239" s="33" t="str">
        <x:v>IM2512</x:v>
      </x:c>
    </x:row>
    <x:row r="240">
      <x:c r="A240" s="23" t="n">
        <x:v>8</x:v>
      </x:c>
      <x:c r="B240" s="23" t="str">
        <x:v>周一</x:v>
      </x:c>
      <x:c r="C240" s="23" t="str">
        <x:v>10月20日</x:v>
      </x:c>
      <x:c r="D240" s="24" t="n">
        <x:v>7100</x:v>
      </x:c>
      <x:c r="E240" s="24" t="n">
        <x:v>7150.8</x:v>
      </x:c>
      <x:c r="F240" s="24" t="n">
        <x:v>7028.4</x:v>
      </x:c>
      <x:c r="G240" s="24" t="n">
        <x:v>7059.2</x:v>
      </x:c>
      <x:c r="H240" s="24"/>
      <x:c r="I240" s="25" t="n">
        <x:v>0.005469462169553241</x:v>
      </x:c>
      <x:c r="J240" s="24" t="n">
        <x:f>ROUND(E240-F240,1)</x:f>
        <x:v>122.4</x:v>
      </x:c>
      <x:c r="K240" s="23" t="str">
        <x:v>IM2512</x:v>
      </x:c>
    </x:row>
    <x:row r="241">
      <x:c r="A241" s="23" t="n">
        <x:v>9</x:v>
      </x:c>
      <x:c r="B241" s="23" t="str">
        <x:v>周二</x:v>
      </x:c>
      <x:c r="C241" s="23" t="str">
        <x:v>10月21日</x:v>
      </x:c>
      <x:c r="D241" s="24" t="n">
        <x:v>7099</x:v>
      </x:c>
      <x:c r="E241" s="24" t="n">
        <x:v>7228.6</x:v>
      </x:c>
      <x:c r="F241" s="24" t="n">
        <x:v>7083</x:v>
      </x:c>
      <x:c r="G241" s="24" t="n">
        <x:v>7182.8</x:v>
      </x:c>
      <x:c r="H241" s="24"/>
      <x:c r="I241" s="25" t="n">
        <x:v>0.017509066183136968</x:v>
      </x:c>
      <x:c r="J241" s="24" t="n">
        <x:f>ROUND(E241-F241,1)</x:f>
        <x:v>145.6</x:v>
      </x:c>
      <x:c r="K241" s="23" t="str">
        <x:v>IM2512</x:v>
      </x:c>
    </x:row>
    <x:row r="242">
      <x:c r="A242" s="23" t="n">
        <x:v>10</x:v>
      </x:c>
      <x:c r="B242" s="23" t="str">
        <x:v>周三</x:v>
      </x:c>
      <x:c r="C242" s="23" t="str">
        <x:v>10月22日</x:v>
      </x:c>
      <x:c r="D242" s="24" t="n">
        <x:v>7165.2</x:v>
      </x:c>
      <x:c r="E242" s="24" t="n">
        <x:v>7201.2</x:v>
      </x:c>
      <x:c r="F242" s="24" t="n">
        <x:v>7117.2</x:v>
      </x:c>
      <x:c r="G242" s="24" t="n">
        <x:v>7163.2</x:v>
      </x:c>
      <x:c r="H242" s="24"/>
      <x:c r="I242" s="25" t="n">
        <x:v>-0.0027287408809935076</x:v>
      </x:c>
      <x:c r="J242" s="24" t="n">
        <x:f>ROUND(E242-F242,1)</x:f>
        <x:v>84</x:v>
      </x:c>
      <x:c r="K242" s="23" t="str">
        <x:v>IM2512</x:v>
      </x:c>
    </x:row>
    <x:row r="243">
      <x:c r="A243" s="23" t="n">
        <x:v>11</x:v>
      </x:c>
      <x:c r="B243" s="23" t="str">
        <x:v>周四</x:v>
      </x:c>
      <x:c r="C243" s="23" t="str">
        <x:v>10月23日</x:v>
      </x:c>
      <x:c r="D243" s="24" t="n">
        <x:v>7149</x:v>
      </x:c>
      <x:c r="E243" s="24" t="n">
        <x:v>7186.4</x:v>
      </x:c>
      <x:c r="F243" s="24" t="n">
        <x:v>7014.4</x:v>
      </x:c>
      <x:c r="G243" s="24" t="n">
        <x:v>7179</x:v>
      </x:c>
      <x:c r="H243" s="24"/>
      <x:c r="I243" s="25" t="n">
        <x:v>0.0022057181148089633</x:v>
      </x:c>
      <x:c r="J243" s="24" t="n">
        <x:f>ROUND(E243-F243,1)</x:f>
        <x:v>172</x:v>
      </x:c>
      <x:c r="K243" s="23" t="str">
        <x:v>IM2512</x:v>
      </x:c>
    </x:row>
    <x:row r="244">
      <x:c r="A244" s="23" t="n">
        <x:v>12</x:v>
      </x:c>
      <x:c r="B244" s="23" t="str">
        <x:v>周五</x:v>
      </x:c>
      <x:c r="C244" s="23" t="str">
        <x:v>10月24日</x:v>
      </x:c>
      <x:c r="D244" s="24" t="n">
        <x:v>7210</x:v>
      </x:c>
      <x:c r="E244" s="24" t="n">
        <x:v>7298</x:v>
      </x:c>
      <x:c r="F244" s="24" t="n">
        <x:v>7194.4</x:v>
      </x:c>
      <x:c r="G244" s="24" t="n">
        <x:v>7298</x:v>
      </x:c>
      <x:c r="H244" s="24"/>
      <x:c r="I244" s="25" t="n">
        <x:v>0.01657612480846904</x:v>
      </x:c>
      <x:c r="J244" s="24" t="n">
        <x:f>ROUND(E244-F244,1)</x:f>
        <x:v>103.6</x:v>
      </x:c>
      <x:c r="K244" s="23" t="str">
        <x:v>IM2512</x:v>
      </x:c>
    </x:row>
    <x:row r="245">
      <x:c r="A245" s="23" t="n">
        <x:v>13</x:v>
      </x:c>
      <x:c r="B245" s="23" t="str">
        <x:v>周一</x:v>
      </x:c>
      <x:c r="C245" s="23" t="str">
        <x:v>10月27日</x:v>
      </x:c>
      <x:c r="D245" s="24" t="n">
        <x:v>7378</x:v>
      </x:c>
      <x:c r="E245" s="24" t="n">
        <x:v>7395.6</x:v>
      </x:c>
      <x:c r="F245" s="24" t="n">
        <x:v>7300.2</x:v>
      </x:c>
      <x:c r="G245" s="24" t="n">
        <x:v>7322.6</x:v>
      </x:c>
      <x:c r="H245" s="24"/>
      <x:c r="I245" s="25" t="n">
        <x:v>0.003370786516853963</x:v>
      </x:c>
      <x:c r="J245" s="24" t="n">
        <x:f>ROUND(E245-F245,1)</x:f>
        <x:v>95.4</x:v>
      </x:c>
      <x:c r="K245" s="23" t="str">
        <x:v>IM2512</x:v>
      </x:c>
    </x:row>
    <x:row r="246">
      <x:c r="A246" s="23" t="n">
        <x:v>14</x:v>
      </x:c>
      <x:c r="B246" s="23" t="str">
        <x:v>周二</x:v>
      </x:c>
      <x:c r="C246" s="23" t="str">
        <x:v>10月28日</x:v>
      </x:c>
      <x:c r="D246" s="24" t="n">
        <x:v>7315</x:v>
      </x:c>
      <x:c r="E246" s="24" t="n">
        <x:v>7416.8</x:v>
      </x:c>
      <x:c r="F246" s="24" t="n">
        <x:v>7301.2</x:v>
      </x:c>
      <x:c r="G246" s="24" t="n">
        <x:v>7335.6</x:v>
      </x:c>
      <x:c r="H246" s="24"/>
      <x:c r="I246" s="25" t="n">
        <x:v>0.0017753257039849757</x:v>
      </x:c>
      <x:c r="J246" s="24" t="n">
        <x:f>ROUND(E246-F246,1)</x:f>
        <x:v>115.6</x:v>
      </x:c>
      <x:c r="K246" s="23" t="str">
        <x:v>IM2512</x:v>
      </x:c>
    </x:row>
    <x:row r="247">
      <x:c r="A247" s="23" t="n">
        <x:v>15</x:v>
      </x:c>
      <x:c r="B247" s="23" t="str">
        <x:v>周三</x:v>
      </x:c>
      <x:c r="C247" s="23" t="str">
        <x:v>10月29日</x:v>
      </x:c>
      <x:c r="D247" s="24" t="n">
        <x:v>7356</x:v>
      </x:c>
      <x:c r="E247" s="24" t="n">
        <x:v>7450</x:v>
      </x:c>
      <x:c r="F247" s="24" t="n">
        <x:v>7330.8</x:v>
      </x:c>
      <x:c r="G247" s="24" t="n">
        <x:v>7446.4</x:v>
      </x:c>
      <x:c r="H247" s="24"/>
      <x:c r="I247" s="25" t="n">
        <x:v>0.015104422269480278</x:v>
      </x:c>
      <x:c r="J247" s="24" t="n">
        <x:f>ROUND(E247-F247,1)</x:f>
        <x:v>119.2</x:v>
      </x:c>
      <x:c r="K247" s="23" t="str">
        <x:v>IM2512</x:v>
      </x:c>
    </x:row>
    <x:row r="248">
      <x:c r="A248" s="23" t="n">
        <x:v>16</x:v>
      </x:c>
      <x:c r="B248" s="23" t="str">
        <x:v>周四</x:v>
      </x:c>
      <x:c r="C248" s="23" t="str">
        <x:v>10月30日</x:v>
      </x:c>
      <x:c r="D248" s="24" t="n">
        <x:v>7429.8</x:v>
      </x:c>
      <x:c r="E248" s="24" t="n">
        <x:v>7444</x:v>
      </x:c>
      <x:c r="F248" s="24" t="n">
        <x:v>7328</x:v>
      </x:c>
      <x:c r="G248" s="24" t="n">
        <x:v>7364.4</x:v>
      </x:c>
      <x:c r="H248" s="24"/>
      <x:c r="I248" s="25" t="n">
        <x:v>-0.011012032660077331</x:v>
      </x:c>
      <x:c r="J248" s="24" t="n">
        <x:f>ROUND(E248-F248,1)</x:f>
        <x:v>116</x:v>
      </x:c>
      <x:c r="K248" s="23" t="str">
        <x:v>IM2512</x:v>
      </x:c>
    </x:row>
    <x:row r="249">
      <x:c r="A249" s="23" t="n">
        <x:v>17</x:v>
      </x:c>
      <x:c r="B249" s="23" t="str">
        <x:v>周五</x:v>
      </x:c>
      <x:c r="C249" s="23" t="str">
        <x:v>10月31日</x:v>
      </x:c>
      <x:c r="D249" s="24" t="n">
        <x:v>7380</x:v>
      </x:c>
      <x:c r="E249" s="24" t="n">
        <x:v>7479</x:v>
      </x:c>
      <x:c r="F249" s="24" t="n">
        <x:v>7363</x:v>
      </x:c>
      <x:c r="G249" s="24" t="n">
        <x:v>7368.2</x:v>
      </x:c>
      <x:c r="H249" s="24"/>
      <x:c r="I249" s="25" t="n">
        <x:v>0.0005159958720331037</x:v>
      </x:c>
      <x:c r="J249" s="24" t="n">
        <x:f>ROUND(E249-F249,1)</x:f>
        <x:v>116</x:v>
      </x:c>
      <x:c r="K249" s="23" t="str">
        <x:v>IM2512</x:v>
      </x:c>
    </x:row>
    <x:row r="250">
      <x:c r="A250" s="38" t="str">
        <x:v>合计</x:v>
      </x:c>
      <x:c r="B250" s="37" t="n">
        <x:v>17</x:v>
      </x:c>
      <x:c r="C250" s="37"/>
      <x:c r="D250" s="37"/>
      <x:c r="E250" s="37"/>
      <x:c r="F250" s="37"/>
      <x:c r="G250" s="37"/>
      <x:c r="H250" s="37"/>
      <x:c r="I250" s="37"/>
      <x:c r="J250" s="39" t="n">
        <x:f>ROUND(SUM(J233:J249),1)</x:f>
        <x:v>2420</x:v>
      </x:c>
      <x:c r="K250" s="37"/>
    </x:row>
    <x:row r="251">
      <x:c r="A251" s="38" t="str">
        <x:v>均值</x:v>
      </x:c>
      <x:c r="B251" s="37"/>
      <x:c r="C251" s="37"/>
      <x:c r="D251" s="37"/>
      <x:c r="E251" s="37"/>
      <x:c r="F251" s="37"/>
      <x:c r="G251" s="37"/>
      <x:c r="H251" s="37"/>
      <x:c r="I251" s="37"/>
      <x:c r="J251" s="41" t="n">
        <x:f>ROUND(IFERROR(AVERAGE(J233:J249),0),1)</x:f>
        <x:v>142.4</x:v>
      </x:c>
      <x:c r="K251" s="37"/>
    </x:row>
    <x:row r="253">
      <x:c r="A253" s="17" t="str">
        <x:v>11月</x:v>
      </x:c>
      <x:c r="B253" s="17"/>
      <x:c r="C253" s="17"/>
      <x:c r="D253" s="17"/>
      <x:c r="E253" s="17"/>
      <x:c r="F253" s="17"/>
      <x:c r="G253" s="17"/>
      <x:c r="H253" s="17"/>
      <x:c r="I253" s="17"/>
      <x:c r="J253" s="17"/>
      <x:c r="K253" s="17"/>
    </x:row>
    <x:row r="254">
      <x:c r="A254" s="20" t="str">
        <x:v>序号</x:v>
      </x:c>
      <x:c r="B254" s="20" t="str">
        <x:v>星期</x:v>
      </x:c>
      <x:c r="C254" s="20" t="str">
        <x:v>日期</x:v>
      </x:c>
      <x:c r="D254" s="20" t="str">
        <x:v>开盘</x:v>
      </x:c>
      <x:c r="E254" s="20" t="str">
        <x:v>高点</x:v>
      </x:c>
      <x:c r="F254" s="20" t="str">
        <x:v>低点</x:v>
      </x:c>
      <x:c r="G254" s="20" t="str">
        <x:v>收盘</x:v>
      </x:c>
      <x:c r="H254" s="20" t="str">
        <x:v>涨跌点数</x:v>
      </x:c>
      <x:c r="I254" s="20" t="str">
        <x:v>涨幅</x:v>
      </x:c>
      <x:c r="J254" s="20" t="str">
        <x:v>振幅</x:v>
      </x:c>
      <x:c r="K254" s="20" t="str">
        <x:v>标的</x:v>
      </x:c>
    </x:row>
    <x:row r="255">
      <x:c r="A255" s="23" t="n">
        <x:v>1</x:v>
      </x:c>
      <x:c r="B255" s="23" t="str">
        <x:v>周一</x:v>
      </x:c>
      <x:c r="C255" s="23" t="str">
        <x:v>11月3日</x:v>
      </x:c>
      <x:c r="D255" s="24" t="n">
        <x:v>7384.8</x:v>
      </x:c>
      <x:c r="E255" s="24" t="n">
        <x:v>7411</x:v>
      </x:c>
      <x:c r="F255" s="24" t="n">
        <x:v>7275</x:v>
      </x:c>
      <x:c r="G255" s="24" t="n">
        <x:v>7398</x:v>
      </x:c>
      <x:c r="H255" s="24"/>
      <x:c r="I255" s="25" t="n">
        <x:v>0.004044407046497112</x:v>
      </x:c>
      <x:c r="J255" s="24" t="n">
        <x:f>ROUND(E255-F255,1)</x:f>
        <x:v>136</x:v>
      </x:c>
      <x:c r="K255" s="23" t="str">
        <x:v>IM2512</x:v>
      </x:c>
    </x:row>
    <x:row r="256">
      <x:c r="A256" s="23" t="n">
        <x:v>2</x:v>
      </x:c>
      <x:c r="B256" s="23" t="str">
        <x:v>周二</x:v>
      </x:c>
      <x:c r="C256" s="23" t="str">
        <x:v>11月4日</x:v>
      </x:c>
      <x:c r="D256" s="24" t="n">
        <x:v>7384.8</x:v>
      </x:c>
      <x:c r="E256" s="24" t="n">
        <x:v>7389</x:v>
      </x:c>
      <x:c r="F256" s="24" t="n">
        <x:v>7215.4</x:v>
      </x:c>
      <x:c r="G256" s="24" t="n">
        <x:v>7284.4</x:v>
      </x:c>
      <x:c r="H256" s="24"/>
      <x:c r="I256" s="25" t="n">
        <x:v>-0.015355501486888357</x:v>
      </x:c>
      <x:c r="J256" s="24" t="n">
        <x:f>ROUND(E256-F256,1)</x:f>
        <x:v>173.6</x:v>
      </x:c>
      <x:c r="K256" s="23" t="str">
        <x:v>IM2512</x:v>
      </x:c>
    </x:row>
    <x:row r="257">
      <x:c r="A257" s="23" t="n">
        <x:v>3</x:v>
      </x:c>
      <x:c r="B257" s="23" t="str">
        <x:v>周三</x:v>
      </x:c>
      <x:c r="C257" s="23" t="str">
        <x:v>11月5日</x:v>
      </x:c>
      <x:c r="D257" s="24" t="n">
        <x:v>7204.4</x:v>
      </x:c>
      <x:c r="E257" s="24" t="n">
        <x:v>7355</x:v>
      </x:c>
      <x:c r="F257" s="24" t="n">
        <x:v>7200.4</x:v>
      </x:c>
      <x:c r="G257" s="24" t="n">
        <x:v>7310.8</x:v>
      </x:c>
      <x:c r="H257" s="24"/>
      <x:c r="I257" s="25" t="n">
        <x:v>0.0036241831859866735</x:v>
      </x:c>
      <x:c r="J257" s="24" t="n">
        <x:f>ROUND(E257-F257,1)</x:f>
        <x:v>154.6</x:v>
      </x:c>
      <x:c r="K257" s="23" t="str">
        <x:v>IM2512</x:v>
      </x:c>
    </x:row>
    <x:row r="258">
      <x:c r="A258" s="23" t="n">
        <x:v>4</x:v>
      </x:c>
      <x:c r="B258" s="23" t="str">
        <x:v>周四</x:v>
      </x:c>
      <x:c r="C258" s="23" t="str">
        <x:v>11月6日</x:v>
      </x:c>
      <x:c r="D258" s="24" t="n">
        <x:v>7321.6</x:v>
      </x:c>
      <x:c r="E258" s="24" t="n">
        <x:v>7418</x:v>
      </x:c>
      <x:c r="F258" s="24" t="n">
        <x:v>7300</x:v>
      </x:c>
      <x:c r="G258" s="24" t="n">
        <x:v>7405</x:v>
      </x:c>
      <x:c r="H258" s="24"/>
      <x:c r="I258" s="25" t="n">
        <x:v>0.012885046780106046</x:v>
      </x:c>
      <x:c r="J258" s="24" t="n">
        <x:f>ROUND(E258-F258,1)</x:f>
        <x:v>118</x:v>
      </x:c>
      <x:c r="K258" s="23" t="str">
        <x:v>IM2512</x:v>
      </x:c>
    </x:row>
    <x:row r="259">
      <x:c r="A259" s="23" t="n">
        <x:v>5</x:v>
      </x:c>
      <x:c r="B259" s="23" t="str">
        <x:v>周五</x:v>
      </x:c>
      <x:c r="C259" s="23" t="str">
        <x:v>11月7日</x:v>
      </x:c>
      <x:c r="D259" s="24" t="n">
        <x:v>7380.2</x:v>
      </x:c>
      <x:c r="E259" s="24" t="n">
        <x:v>7443.8</x:v>
      </x:c>
      <x:c r="F259" s="24" t="n">
        <x:v>7340</x:v>
      </x:c>
      <x:c r="G259" s="24" t="n">
        <x:v>7412</x:v>
      </x:c>
      <x:c r="H259" s="24"/>
      <x:c r="I259" s="25" t="n">
        <x:v>0.0009453072248479799</x:v>
      </x:c>
      <x:c r="J259" s="24" t="n">
        <x:f>ROUND(E259-F259,1)</x:f>
        <x:v>103.8</x:v>
      </x:c>
      <x:c r="K259" s="23" t="str">
        <x:v>IM2512</x:v>
      </x:c>
    </x:row>
    <x:row r="260">
      <x:c r="A260" s="23" t="n">
        <x:v>6</x:v>
      </x:c>
      <x:c r="B260" s="23" t="str">
        <x:v>周一</x:v>
      </x:c>
      <x:c r="C260" s="23" t="str">
        <x:v>11月10日</x:v>
      </x:c>
      <x:c r="D260" s="24" t="n">
        <x:v>7459</x:v>
      </x:c>
      <x:c r="E260" s="24" t="n">
        <x:v>7477.4</x:v>
      </x:c>
      <x:c r="F260" s="24" t="n">
        <x:v>7368.2</x:v>
      </x:c>
      <x:c r="G260" s="24" t="n">
        <x:v>7421</x:v>
      </x:c>
      <x:c r="H260" s="24"/>
      <x:c r="I260" s="25" t="n">
        <x:v>0.0012142471667566657</x:v>
      </x:c>
      <x:c r="J260" s="24" t="n">
        <x:f>ROUND(E260-F260,1)</x:f>
        <x:v>109.2</x:v>
      </x:c>
      <x:c r="K260" s="23" t="str">
        <x:v>IM2512</x:v>
      </x:c>
    </x:row>
    <x:row r="261">
      <x:c r="A261" s="23" t="n">
        <x:v>7</x:v>
      </x:c>
      <x:c r="B261" s="23" t="str">
        <x:v>周二</x:v>
      </x:c>
      <x:c r="C261" s="23" t="str">
        <x:v>11月11日</x:v>
      </x:c>
      <x:c r="D261" s="24" t="n">
        <x:v>7442.8</x:v>
      </x:c>
      <x:c r="E261" s="24" t="n">
        <x:v>7484</x:v>
      </x:c>
      <x:c r="F261" s="24" t="n">
        <x:v>7375</x:v>
      </x:c>
      <x:c r="G261" s="24" t="n">
        <x:v>7390.4</x:v>
      </x:c>
      <x:c r="H261" s="24"/>
      <x:c r="I261" s="25" t="n">
        <x:v>-0.004123433499528373</x:v>
      </x:c>
      <x:c r="J261" s="24" t="n">
        <x:f>ROUND(E261-F261,1)</x:f>
        <x:v>109</x:v>
      </x:c>
      <x:c r="K261" s="23" t="str">
        <x:v>IM2512</x:v>
      </x:c>
    </x:row>
    <x:row r="262">
      <x:c r="A262" s="23" t="n">
        <x:v>8</x:v>
      </x:c>
      <x:c r="B262" s="23" t="str">
        <x:v>周三</x:v>
      </x:c>
      <x:c r="C262" s="23" t="str">
        <x:v>11月12日</x:v>
      </x:c>
      <x:c r="D262" s="24" t="n">
        <x:v>7387.8</x:v>
      </x:c>
      <x:c r="E262" s="24" t="n">
        <x:v>7417</x:v>
      </x:c>
      <x:c r="F262" s="24" t="n">
        <x:v>7293</x:v>
      </x:c>
      <x:c r="G262" s="24" t="n">
        <x:v>7369.8</x:v>
      </x:c>
      <x:c r="H262" s="24"/>
      <x:c r="I262" s="25" t="n">
        <x:v>-0.002787399870101681</x:v>
      </x:c>
      <x:c r="J262" s="24" t="n">
        <x:f>ROUND(E262-F262,1)</x:f>
        <x:v>124</x:v>
      </x:c>
      <x:c r="K262" s="23" t="str">
        <x:v>IM2512</x:v>
      </x:c>
    </x:row>
    <x:row r="263">
      <x:c r="A263" s="23" t="n">
        <x:v>9</x:v>
      </x:c>
      <x:c r="B263" s="23" t="str">
        <x:v>周四</x:v>
      </x:c>
      <x:c r="C263" s="23" t="str">
        <x:v>11月13日</x:v>
      </x:c>
      <x:c r="D263" s="24" t="n">
        <x:v>7357</x:v>
      </x:c>
      <x:c r="E263" s="24" t="n">
        <x:v>7487.8</x:v>
      </x:c>
      <x:c r="F263" s="24" t="n">
        <x:v>7337.6</x:v>
      </x:c>
      <x:c r="G263" s="24" t="n">
        <x:v>7478.4</x:v>
      </x:c>
      <x:c r="H263" s="24"/>
      <x:c r="I263" s="25" t="n">
        <x:v>0.014735813726288294</x:v>
      </x:c>
      <x:c r="J263" s="24" t="n">
        <x:f>ROUND(E263-F263,1)</x:f>
        <x:v>150.2</x:v>
      </x:c>
      <x:c r="K263" s="23" t="str">
        <x:v>IM2512</x:v>
      </x:c>
    </x:row>
    <x:row r="264">
      <x:c r="A264" s="23" t="n">
        <x:v>10</x:v>
      </x:c>
      <x:c r="B264" s="23" t="str">
        <x:v>周五</x:v>
      </x:c>
      <x:c r="C264" s="23" t="str">
        <x:v>11月14日</x:v>
      </x:c>
      <x:c r="D264" s="24" t="n">
        <x:v>7439</x:v>
      </x:c>
      <x:c r="E264" s="24" t="n">
        <x:v>7469</x:v>
      </x:c>
      <x:c r="F264" s="24" t="n">
        <x:v>7372</x:v>
      </x:c>
      <x:c r="G264" s="24" t="n">
        <x:v>7372</x:v>
      </x:c>
      <x:c r="H264" s="24"/>
      <x:c r="I264" s="25" t="n">
        <x:v>-0.014227642276422703</x:v>
      </x:c>
      <x:c r="J264" s="24" t="n">
        <x:f>ROUND(E264-F264,1)</x:f>
        <x:v>97</x:v>
      </x:c>
      <x:c r="K264" s="23" t="str">
        <x:v>IM2512</x:v>
      </x:c>
    </x:row>
    <x:row r="265">
      <x:c r="A265" s="23" t="n">
        <x:v>11</x:v>
      </x:c>
      <x:c r="B265" s="23" t="str">
        <x:v>周一</x:v>
      </x:c>
      <x:c r="C265" s="23" t="str">
        <x:v>11月17日</x:v>
      </x:c>
      <x:c r="D265" s="24" t="n">
        <x:v>7398</x:v>
      </x:c>
      <x:c r="E265" s="24" t="n">
        <x:v>7429.8</x:v>
      </x:c>
      <x:c r="F265" s="24" t="n">
        <x:v>7351.2</x:v>
      </x:c>
      <x:c r="G265" s="24" t="n">
        <x:v>7394.4</x:v>
      </x:c>
      <x:c r="H265" s="24"/>
      <x:c r="I265" s="25" t="n">
        <x:v>0.0030385241454149448</x:v>
      </x:c>
      <x:c r="J265" s="24" t="n">
        <x:f>ROUND(E265-F265,1)</x:f>
        <x:v>78.6</x:v>
      </x:c>
      <x:c r="K265" s="23" t="str">
        <x:v>IM2512</x:v>
      </x:c>
    </x:row>
    <x:row r="266">
      <x:c r="A266" s="23" t="n">
        <x:v>12</x:v>
      </x:c>
      <x:c r="B266" s="23" t="str">
        <x:v>周二</x:v>
      </x:c>
      <x:c r="C266" s="23" t="str">
        <x:v>11月18日</x:v>
      </x:c>
      <x:c r="D266" s="24" t="n">
        <x:v>7375.4</x:v>
      </x:c>
      <x:c r="E266" s="24" t="n">
        <x:v>7399.6</x:v>
      </x:c>
      <x:c r="F266" s="24" t="n">
        <x:v>7303</x:v>
      </x:c>
      <x:c r="G266" s="24" t="n">
        <x:v>7351.8</x:v>
      </x:c>
      <x:c r="H266" s="24"/>
      <x:c r="I266" s="25" t="n">
        <x:v>-0.005761116520610066</x:v>
      </x:c>
      <x:c r="J266" s="24" t="n">
        <x:f>ROUND(E266-F266,1)</x:f>
        <x:v>96.6</x:v>
      </x:c>
      <x:c r="K266" s="23" t="str">
        <x:v>IM2512</x:v>
      </x:c>
    </x:row>
    <x:row r="267">
      <x:c r="A267" s="23" t="n">
        <x:v>13</x:v>
      </x:c>
      <x:c r="B267" s="23" t="str">
        <x:v>周三</x:v>
      </x:c>
      <x:c r="C267" s="23" t="str">
        <x:v>11月19日</x:v>
      </x:c>
      <x:c r="D267" s="24" t="n">
        <x:v>7365</x:v>
      </x:c>
      <x:c r="E267" s="24" t="n">
        <x:v>7388.4</x:v>
      </x:c>
      <x:c r="F267" s="24" t="n">
        <x:v>7252.2</x:v>
      </x:c>
      <x:c r="G267" s="24" t="n">
        <x:v>7298.2</x:v>
      </x:c>
      <x:c r="H267" s="24"/>
      <x:c r="I267" s="25" t="n">
        <x:v>-0.0072907315215321455</x:v>
      </x:c>
      <x:c r="J267" s="24" t="n">
        <x:f>ROUND(E267-F267,1)</x:f>
        <x:v>136.2</x:v>
      </x:c>
      <x:c r="K267" s="23" t="str">
        <x:v>IM2512</x:v>
      </x:c>
    </x:row>
    <x:row r="268">
      <x:c r="A268" s="23" t="n">
        <x:v>14</x:v>
      </x:c>
      <x:c r="B268" s="23" t="str">
        <x:v>周四</x:v>
      </x:c>
      <x:c r="C268" s="23" t="str">
        <x:v>11月20日</x:v>
      </x:c>
      <x:c r="D268" s="24" t="n">
        <x:v>7348</x:v>
      </x:c>
      <x:c r="E268" s="24" t="n">
        <x:v>7358.4</x:v>
      </x:c>
      <x:c r="F268" s="24" t="n">
        <x:v>7246.8</x:v>
      </x:c>
      <x:c r="G268" s="24" t="n">
        <x:v>7263.6</x:v>
      </x:c>
      <x:c r="H268" s="24"/>
      <x:c r="I268" s="25" t="n">
        <x:v>-0.0047408950152091345</x:v>
      </x:c>
      <x:c r="J268" s="24" t="n">
        <x:f>ROUND(E268-F268,1)</x:f>
        <x:v>111.6</x:v>
      </x:c>
      <x:c r="K268" s="23" t="str">
        <x:v>IM2512</x:v>
      </x:c>
    </x:row>
    <x:row r="269">
      <x:c r="A269" s="33" t="n">
        <x:v>15</x:v>
      </x:c>
      <x:c r="B269" s="33" t="str">
        <x:v>周五</x:v>
      </x:c>
      <x:c r="C269" s="33" t="str">
        <x:v>11月21日</x:v>
      </x:c>
      <x:c r="D269" s="34" t="n">
        <x:v>7213.8</x:v>
      </x:c>
      <x:c r="E269" s="34" t="n">
        <x:v>7234</x:v>
      </x:c>
      <x:c r="F269" s="34" t="n">
        <x:v>7012</x:v>
      </x:c>
      <x:c r="G269" s="34" t="n">
        <x:v>7018.2</x:v>
      </x:c>
      <x:c r="H269" s="34"/>
      <x:c r="I269" s="35" t="n">
        <x:v>-0.03378490004956225</x:v>
      </x:c>
      <x:c r="J269" s="29" t="n">
        <x:f>ROUND(E269-F269,1)</x:f>
        <x:v>222</x:v>
      </x:c>
      <x:c r="K269" s="33" t="str">
        <x:v>IM2512</x:v>
      </x:c>
    </x:row>
    <x:row r="270">
      <x:c r="A270" s="23" t="n">
        <x:v>16</x:v>
      </x:c>
      <x:c r="B270" s="23" t="str">
        <x:v>周一</x:v>
      </x:c>
      <x:c r="C270" s="23" t="str">
        <x:v>11月24日</x:v>
      </x:c>
      <x:c r="D270" s="24" t="n">
        <x:v>7056.2</x:v>
      </x:c>
      <x:c r="E270" s="24" t="n">
        <x:v>7132.4</x:v>
      </x:c>
      <x:c r="F270" s="24" t="n">
        <x:v>7008.8</x:v>
      </x:c>
      <x:c r="G270" s="24" t="n">
        <x:v>7095.2</x:v>
      </x:c>
      <x:c r="H270" s="24"/>
      <x:c r="I270" s="25" t="n">
        <x:v>0.010971474167165374</x:v>
      </x:c>
      <x:c r="J270" s="24" t="n">
        <x:f>ROUND(E270-F270,1)</x:f>
        <x:v>123.6</x:v>
      </x:c>
      <x:c r="K270" s="23" t="str">
        <x:v>IM2512</x:v>
      </x:c>
    </x:row>
    <x:row r="271">
      <x:c r="A271" s="23" t="n">
        <x:v>17</x:v>
      </x:c>
      <x:c r="B271" s="23" t="str">
        <x:v>周二</x:v>
      </x:c>
      <x:c r="C271" s="23" t="str">
        <x:v>11月25日</x:v>
      </x:c>
      <x:c r="D271" s="24" t="n">
        <x:v>7136.2</x:v>
      </x:c>
      <x:c r="E271" s="24" t="n">
        <x:v>7250</x:v>
      </x:c>
      <x:c r="F271" s="24" t="n">
        <x:v>7136.2</x:v>
      </x:c>
      <x:c r="G271" s="24" t="n">
        <x:v>7172</x:v>
      </x:c>
      <x:c r="H271" s="24"/>
      <x:c r="I271" s="25" t="n">
        <x:v>0.010824219190438633</x:v>
      </x:c>
      <x:c r="J271" s="24" t="n">
        <x:f>ROUND(E271-F271,1)</x:f>
        <x:v>113.8</x:v>
      </x:c>
      <x:c r="K271" s="23" t="str">
        <x:v>IM2512</x:v>
      </x:c>
    </x:row>
    <x:row r="272">
      <x:c r="A272" s="23" t="n">
        <x:v>18</x:v>
      </x:c>
      <x:c r="B272" s="23" t="str">
        <x:v>周三</x:v>
      </x:c>
      <x:c r="C272" s="23" t="str">
        <x:v>11月26日</x:v>
      </x:c>
      <x:c r="D272" s="24" t="n">
        <x:v>7172</x:v>
      </x:c>
      <x:c r="E272" s="24" t="n">
        <x:v>7245</x:v>
      </x:c>
      <x:c r="F272" s="24" t="n">
        <x:v>7152</x:v>
      </x:c>
      <x:c r="G272" s="24" t="n">
        <x:v>7176.2</x:v>
      </x:c>
      <x:c r="H272" s="24"/>
      <x:c r="I272" s="25" t="n">
        <x:v>0.0005856107083099804</x:v>
      </x:c>
      <x:c r="J272" s="24" t="n">
        <x:f>ROUND(E272-F272,1)</x:f>
        <x:v>93</x:v>
      </x:c>
      <x:c r="K272" s="23" t="str">
        <x:v>IM2512</x:v>
      </x:c>
    </x:row>
    <x:row r="273">
      <x:c r="A273" s="23" t="n">
        <x:v>19</x:v>
      </x:c>
      <x:c r="B273" s="23" t="str">
        <x:v>周四</x:v>
      </x:c>
      <x:c r="C273" s="23" t="str">
        <x:v>11月27日</x:v>
      </x:c>
      <x:c r="D273" s="24" t="n">
        <x:v>7182.4</x:v>
      </x:c>
      <x:c r="E273" s="24" t="n">
        <x:v>7264</x:v>
      </x:c>
      <x:c r="F273" s="24" t="n">
        <x:v>7167.6</x:v>
      </x:c>
      <x:c r="G273" s="24" t="n">
        <x:v>7179</x:v>
      </x:c>
      <x:c r="H273" s="24"/>
      <x:c r="I273" s="25" t="n">
        <x:v>0.0003901786460800416</x:v>
      </x:c>
      <x:c r="J273" s="24" t="n">
        <x:f>ROUND(E273-F273,1)</x:f>
        <x:v>96.4</x:v>
      </x:c>
      <x:c r="K273" s="23" t="str">
        <x:v>IM2512</x:v>
      </x:c>
    </x:row>
    <x:row r="274">
      <x:c r="A274" s="23" t="n">
        <x:v>20</x:v>
      </x:c>
      <x:c r="B274" s="23" t="str">
        <x:v>周五</x:v>
      </x:c>
      <x:c r="C274" s="23" t="str">
        <x:v>11月28日</x:v>
      </x:c>
      <x:c r="D274" s="24" t="n">
        <x:v>7190</x:v>
      </x:c>
      <x:c r="E274" s="24" t="n">
        <x:v>7261.6</x:v>
      </x:c>
      <x:c r="F274" s="24" t="n">
        <x:v>7161.2</x:v>
      </x:c>
      <x:c r="G274" s="24" t="n">
        <x:v>7260.8</x:v>
      </x:c>
      <x:c r="H274" s="24"/>
      <x:c r="I274" s="25" t="n">
        <x:v>0.011394344616241892</x:v>
      </x:c>
      <x:c r="J274" s="24" t="n">
        <x:f>ROUND(E274-F274,1)</x:f>
        <x:v>100.4</x:v>
      </x:c>
      <x:c r="K274" s="23" t="str">
        <x:v>IM2512</x:v>
      </x:c>
    </x:row>
    <x:row r="275">
      <x:c r="A275" s="38" t="str">
        <x:v>合计</x:v>
      </x:c>
      <x:c r="B275" s="37" t="n">
        <x:v>20</x:v>
      </x:c>
      <x:c r="C275" s="37"/>
      <x:c r="D275" s="37"/>
      <x:c r="E275" s="37"/>
      <x:c r="F275" s="37"/>
      <x:c r="G275" s="37"/>
      <x:c r="H275" s="37"/>
      <x:c r="I275" s="37"/>
      <x:c r="J275" s="39" t="n">
        <x:f>ROUND(SUM(J255:J274),1)</x:f>
        <x:v>2447.6</x:v>
      </x:c>
      <x:c r="K275" s="37"/>
    </x:row>
    <x:row r="276">
      <x:c r="A276" s="38" t="str">
        <x:v>均值</x:v>
      </x:c>
      <x:c r="B276" s="37"/>
      <x:c r="C276" s="37"/>
      <x:c r="D276" s="37"/>
      <x:c r="E276" s="37"/>
      <x:c r="F276" s="37"/>
      <x:c r="G276" s="37"/>
      <x:c r="H276" s="37"/>
      <x:c r="I276" s="37"/>
      <x:c r="J276" s="41" t="n">
        <x:f>ROUND(IFERROR(AVERAGE(J255:J274),0),1)</x:f>
        <x:v>122.4</x:v>
      </x:c>
      <x:c r="K276" s="37"/>
    </x:row>
    <x:row r="278">
      <x:c r="A278" s="17" t="str">
        <x:v>12月</x:v>
      </x:c>
      <x:c r="B278" s="17"/>
      <x:c r="C278" s="17"/>
      <x:c r="D278" s="17"/>
      <x:c r="E278" s="17"/>
      <x:c r="F278" s="17"/>
      <x:c r="G278" s="17"/>
      <x:c r="H278" s="17"/>
      <x:c r="I278" s="17"/>
      <x:c r="J278" s="17"/>
      <x:c r="K278" s="17"/>
    </x:row>
    <x:row r="279">
      <x:c r="A279" s="20" t="str">
        <x:v>序号</x:v>
      </x:c>
      <x:c r="B279" s="20" t="str">
        <x:v>星期</x:v>
      </x:c>
      <x:c r="C279" s="20" t="str">
        <x:v>日期</x:v>
      </x:c>
      <x:c r="D279" s="20" t="str">
        <x:v>开盘</x:v>
      </x:c>
      <x:c r="E279" s="20" t="str">
        <x:v>高点</x:v>
      </x:c>
      <x:c r="F279" s="20" t="str">
        <x:v>低点</x:v>
      </x:c>
      <x:c r="G279" s="20" t="str">
        <x:v>收盘</x:v>
      </x:c>
      <x:c r="H279" s="20" t="str">
        <x:v>涨跌点数</x:v>
      </x:c>
      <x:c r="I279" s="20" t="str">
        <x:v>涨幅</x:v>
      </x:c>
      <x:c r="J279" s="20" t="str">
        <x:v>振幅</x:v>
      </x:c>
      <x:c r="K279" s="20" t="str">
        <x:v>标的</x:v>
      </x:c>
    </x:row>
    <x:row r="280">
      <x:c r="A280" s="23" t="n">
        <x:v>1</x:v>
      </x:c>
      <x:c r="B280" s="23" t="str">
        <x:v>周一</x:v>
      </x:c>
      <x:c r="C280" s="23" t="str">
        <x:v>12月1日</x:v>
      </x:c>
      <x:c r="D280" s="24" t="n">
        <x:v>7278.6</x:v>
      </x:c>
      <x:c r="E280" s="24" t="n">
        <x:v>7328.4</x:v>
      </x:c>
      <x:c r="F280" s="24" t="n">
        <x:v>7256.4</x:v>
      </x:c>
      <x:c r="G280" s="24" t="n">
        <x:v>7290</x:v>
      </x:c>
      <x:c r="H280" s="24"/>
      <x:c r="I280" s="25" t="n">
        <x:v>0.004021595416483059</x:v>
      </x:c>
      <x:c r="J280" s="24" t="n">
        <x:f>ROUND(E280-F280,1)</x:f>
        <x:v>72</x:v>
      </x:c>
      <x:c r="K280" s="23" t="str">
        <x:v>IM2512</x:v>
      </x:c>
    </x:row>
    <x:row r="281">
      <x:c r="A281" s="23" t="n">
        <x:v>2</x:v>
      </x:c>
      <x:c r="B281" s="23" t="str">
        <x:v>周二</x:v>
      </x:c>
      <x:c r="C281" s="23" t="str">
        <x:v>12月2日</x:v>
      </x:c>
      <x:c r="D281" s="24" t="n">
        <x:v>7286</x:v>
      </x:c>
      <x:c r="E281" s="24" t="n">
        <x:v>7286</x:v>
      </x:c>
      <x:c r="F281" s="24" t="n">
        <x:v>7220</x:v>
      </x:c>
      <x:c r="G281" s="24" t="n">
        <x:v>7239.6</x:v>
      </x:c>
      <x:c r="H281" s="24"/>
      <x:c r="I281" s="25" t="n">
        <x:v>-0.006913580246913575</x:v>
      </x:c>
      <x:c r="J281" s="24" t="n">
        <x:f>ROUND(E281-F281,1)</x:f>
        <x:v>66</x:v>
      </x:c>
      <x:c r="K281" s="23" t="str">
        <x:v>IM2512</x:v>
      </x:c>
    </x:row>
    <x:row r="282">
      <x:c r="A282" s="23" t="n">
        <x:v>3</x:v>
      </x:c>
      <x:c r="B282" s="23" t="str">
        <x:v>周三</x:v>
      </x:c>
      <x:c r="C282" s="23" t="str">
        <x:v>12月3日</x:v>
      </x:c>
      <x:c r="D282" s="24" t="n">
        <x:v>7247.2</x:v>
      </x:c>
      <x:c r="E282" s="24" t="n">
        <x:v>7265</x:v>
      </x:c>
      <x:c r="F282" s="24" t="n">
        <x:v>7170.6</x:v>
      </x:c>
      <x:c r="G282" s="24" t="n">
        <x:v>7195.4</x:v>
      </x:c>
      <x:c r="H282" s="24"/>
      <x:c r="I282" s="25" t="n">
        <x:v>-0.0061053096856180655</x:v>
      </x:c>
      <x:c r="J282" s="24" t="n">
        <x:f>ROUND(E282-F282,1)</x:f>
        <x:v>94.4</x:v>
      </x:c>
      <x:c r="K282" s="23" t="str">
        <x:v>IM2512</x:v>
      </x:c>
    </x:row>
    <x:row r="283">
      <x:c r="A283" s="23" t="n">
        <x:v>4</x:v>
      </x:c>
      <x:c r="B283" s="23" t="str">
        <x:v>周四</x:v>
      </x:c>
      <x:c r="C283" s="23" t="str">
        <x:v>12月4日</x:v>
      </x:c>
      <x:c r="D283" s="24" t="n">
        <x:v>7203</x:v>
      </x:c>
      <x:c r="E283" s="24" t="n">
        <x:v>7224</x:v>
      </x:c>
      <x:c r="F283" s="24" t="n">
        <x:v>7137.2</x:v>
      </x:c>
      <x:c r="G283" s="24" t="n">
        <x:v>7213.4</x:v>
      </x:c>
      <x:c r="H283" s="24"/>
      <x:c r="I283" s="25" t="n">
        <x:v>0.0025015982433220785</x:v>
      </x:c>
      <x:c r="J283" s="24" t="n">
        <x:f>ROUND(E283-F283,1)</x:f>
        <x:v>86.8</x:v>
      </x:c>
      <x:c r="K283" s="23" t="str">
        <x:v>IM2512</x:v>
      </x:c>
    </x:row>
    <x:row r="284">
      <x:c r="A284" s="23" t="n">
        <x:v>5</x:v>
      </x:c>
      <x:c r="B284" s="23" t="str">
        <x:v>周五</x:v>
      </x:c>
      <x:c r="C284" s="23" t="str">
        <x:v>12月5日</x:v>
      </x:c>
      <x:c r="D284" s="24" t="n">
        <x:v>7210</x:v>
      </x:c>
      <x:c r="E284" s="24" t="n">
        <x:v>7323.8</x:v>
      </x:c>
      <x:c r="F284" s="24" t="n">
        <x:v>7145.6</x:v>
      </x:c>
      <x:c r="G284" s="24" t="n">
        <x:v>7319.8</x:v>
      </x:c>
      <x:c r="H284" s="24"/>
      <x:c r="I284" s="25" t="n">
        <x:v>0.014750325782571405</x:v>
      </x:c>
      <x:c r="J284" s="24" t="n">
        <x:f>ROUND(E284-F284,1)</x:f>
        <x:v>178.2</x:v>
      </x:c>
      <x:c r="K284" s="23" t="str">
        <x:v>IM2512</x:v>
      </x:c>
    </x:row>
    <x:row r="285">
      <x:c r="A285" s="23" t="n">
        <x:v>6</x:v>
      </x:c>
      <x:c r="B285" s="23" t="str">
        <x:v>周一</x:v>
      </x:c>
      <x:c r="C285" s="23" t="str">
        <x:v>12月8日</x:v>
      </x:c>
      <x:c r="D285" s="24" t="n">
        <x:v>7332</x:v>
      </x:c>
      <x:c r="E285" s="24" t="n">
        <x:v>7409.6</x:v>
      </x:c>
      <x:c r="F285" s="24" t="n">
        <x:v>7332</x:v>
      </x:c>
      <x:c r="G285" s="24" t="n">
        <x:v>7380.4</x:v>
      </x:c>
      <x:c r="H285" s="24"/>
      <x:c r="I285" s="25" t="n">
        <x:v>0.008278914724445974</x:v>
      </x:c>
      <x:c r="J285" s="24" t="n">
        <x:f>ROUND(E285-F285,1)</x:f>
        <x:v>77.6</x:v>
      </x:c>
      <x:c r="K285" s="23" t="str">
        <x:v>IM2512</x:v>
      </x:c>
    </x:row>
    <x:row r="286">
      <x:c r="A286" s="23" t="n">
        <x:v>7</x:v>
      </x:c>
      <x:c r="B286" s="23" t="str">
        <x:v>周二</x:v>
      </x:c>
      <x:c r="C286" s="23" t="str">
        <x:v>12月9日</x:v>
      </x:c>
      <x:c r="D286" s="24" t="n">
        <x:v>7368</x:v>
      </x:c>
      <x:c r="E286" s="24" t="n">
        <x:v>7406</x:v>
      </x:c>
      <x:c r="F286" s="24" t="n">
        <x:v>7343</x:v>
      </x:c>
      <x:c r="G286" s="24" t="n">
        <x:v>7347.8</x:v>
      </x:c>
      <x:c r="H286" s="24"/>
      <x:c r="I286" s="25" t="n">
        <x:v>-0.004417104763969393</x:v>
      </x:c>
      <x:c r="J286" s="24" t="n">
        <x:f>ROUND(E286-F286,1)</x:f>
        <x:v>63</x:v>
      </x:c>
      <x:c r="K286" s="23" t="str">
        <x:v>IM2512</x:v>
      </x:c>
    </x:row>
    <x:row r="287">
      <x:c r="A287" s="23" t="n">
        <x:v>8</x:v>
      </x:c>
      <x:c r="B287" s="23" t="str">
        <x:v>周三</x:v>
      </x:c>
      <x:c r="C287" s="23" t="str">
        <x:v>12月10日</x:v>
      </x:c>
      <x:c r="D287" s="24" t="n">
        <x:v>7340.8</x:v>
      </x:c>
      <x:c r="E287" s="24" t="n">
        <x:v>7390.2</x:v>
      </x:c>
      <x:c r="F287" s="24" t="n">
        <x:v>7295</x:v>
      </x:c>
      <x:c r="G287" s="24" t="n">
        <x:v>7371.4</x:v>
      </x:c>
      <x:c r="H287" s="24"/>
      <x:c r="I287" s="25" t="n">
        <x:v>0.003211845722529194</x:v>
      </x:c>
      <x:c r="J287" s="24" t="n">
        <x:f>ROUND(E287-F287,1)</x:f>
        <x:v>95.2</x:v>
      </x:c>
      <x:c r="K287" s="23" t="str">
        <x:v>IM2512</x:v>
      </x:c>
    </x:row>
    <x:row r="288">
      <x:c r="A288" s="23" t="n">
        <x:v>9</x:v>
      </x:c>
      <x:c r="B288" s="23" t="str">
        <x:v>周四</x:v>
      </x:c>
      <x:c r="C288" s="23" t="str">
        <x:v>12月11日</x:v>
      </x:c>
      <x:c r="D288" s="24" t="n">
        <x:v>7390.2</x:v>
      </x:c>
      <x:c r="E288" s="24" t="n">
        <x:v>7399.8</x:v>
      </x:c>
      <x:c r="F288" s="24" t="n">
        <x:v>7298.2</x:v>
      </x:c>
      <x:c r="G288" s="24" t="n">
        <x:v>7304.6</x:v>
      </x:c>
      <x:c r="H288" s="24"/>
      <x:c r="I288" s="25" t="n">
        <x:v>-0.009062050628103058</x:v>
      </x:c>
      <x:c r="J288" s="24" t="n">
        <x:f>ROUND(E288-F288,1)</x:f>
        <x:v>101.6</x:v>
      </x:c>
      <x:c r="K288" s="23" t="str">
        <x:v>IM2512</x:v>
      </x:c>
    </x:row>
    <x:row r="289">
      <x:c r="A289" s="23" t="n">
        <x:v>10</x:v>
      </x:c>
      <x:c r="B289" s="23" t="str">
        <x:v>周五</x:v>
      </x:c>
      <x:c r="C289" s="23" t="str">
        <x:v>12月12日</x:v>
      </x:c>
      <x:c r="D289" s="24" t="n">
        <x:v>7327</x:v>
      </x:c>
      <x:c r="E289" s="24" t="n">
        <x:v>7385</x:v>
      </x:c>
      <x:c r="F289" s="24" t="n">
        <x:v>7279</x:v>
      </x:c>
      <x:c r="G289" s="24" t="n">
        <x:v>7361.8</x:v>
      </x:c>
      <x:c r="H289" s="24"/>
      <x:c r="I289" s="25" t="n">
        <x:v>0.007830682035977254</x:v>
      </x:c>
      <x:c r="J289" s="24" t="n">
        <x:f>ROUND(E289-F289,1)</x:f>
        <x:v>106</x:v>
      </x:c>
      <x:c r="K289" s="23" t="str">
        <x:v>IM2512</x:v>
      </x:c>
    </x:row>
    <x:row r="290">
      <x:c r="A290" s="23" t="n">
        <x:v>11</x:v>
      </x:c>
      <x:c r="B290" s="23" t="str">
        <x:v>周一</x:v>
      </x:c>
      <x:c r="C290" s="23" t="str">
        <x:v>12月15日</x:v>
      </x:c>
      <x:c r="D290" s="24" t="n">
        <x:v>7320</x:v>
      </x:c>
      <x:c r="E290" s="24" t="n">
        <x:v>7369.8</x:v>
      </x:c>
      <x:c r="F290" s="24" t="n">
        <x:v>7296</x:v>
      </x:c>
      <x:c r="G290" s="24" t="n">
        <x:v>7308</x:v>
      </x:c>
      <x:c r="H290" s="24"/>
      <x:c r="I290" s="25" t="n">
        <x:v>-0.00730799532722981</x:v>
      </x:c>
      <x:c r="J290" s="24" t="n">
        <x:f>ROUND(E290-F290,1)</x:f>
        <x:v>73.8</x:v>
      </x:c>
      <x:c r="K290" s="23" t="str">
        <x:v>IM2512</x:v>
      </x:c>
    </x:row>
    <x:row r="291">
      <x:c r="A291" s="23" t="n">
        <x:v>12</x:v>
      </x:c>
      <x:c r="B291" s="23" t="str">
        <x:v>周二</x:v>
      </x:c>
      <x:c r="C291" s="23" t="str">
        <x:v>12月16日</x:v>
      </x:c>
      <x:c r="D291" s="24" t="n">
        <x:v>7299.2</x:v>
      </x:c>
      <x:c r="E291" s="24" t="n">
        <x:v>7299.2</x:v>
      </x:c>
      <x:c r="F291" s="24" t="n">
        <x:v>7143.2</x:v>
      </x:c>
      <x:c r="G291" s="24" t="n">
        <x:v>7189</x:v>
      </x:c>
      <x:c r="H291" s="24"/>
      <x:c r="I291" s="25" t="n">
        <x:v>-0.047591680350301035</x:v>
      </x:c>
      <x:c r="J291" s="24" t="n">
        <x:f>ROUND(E291-F291,1)</x:f>
        <x:v>156</x:v>
      </x:c>
      <x:c r="K291" s="23" t="str">
        <x:v>IM2512</x:v>
      </x:c>
    </x:row>
    <x:row r="292">
      <x:c r="A292" s="23" t="n">
        <x:v>13</x:v>
      </x:c>
      <x:c r="B292" s="23" t="str">
        <x:v>周三</x:v>
      </x:c>
      <x:c r="C292" s="23" t="str">
        <x:v>12月17日</x:v>
      </x:c>
      <x:c r="D292" s="24" t="n">
        <x:v>7191.2</x:v>
      </x:c>
      <x:c r="E292" s="24" t="n">
        <x:v>7320</x:v>
      </x:c>
      <x:c r="F292" s="24" t="n">
        <x:v>7153</x:v>
      </x:c>
      <x:c r="G292" s="24" t="n">
        <x:v>7295</x:v>
      </x:c>
      <x:c r="H292" s="24"/>
      <x:c r="I292" s="25" t="n">
        <x:v>0.01635010488204358</x:v>
      </x:c>
      <x:c r="J292" s="24" t="n">
        <x:f>ROUND(E292-F292,1)</x:f>
        <x:v>167</x:v>
      </x:c>
      <x:c r="K292" s="23" t="str">
        <x:v>IM2512</x:v>
      </x:c>
    </x:row>
    <x:row r="293">
      <x:c r="A293" s="23" t="n">
        <x:v>14</x:v>
      </x:c>
      <x:c r="B293" s="23" t="str">
        <x:v>周四</x:v>
      </x:c>
      <x:c r="C293" s="23" t="str">
        <x:v>12月18日</x:v>
      </x:c>
      <x:c r="D293" s="24" t="n">
        <x:v>7260</x:v>
      </x:c>
      <x:c r="E293" s="24" t="n">
        <x:v>7348</x:v>
      </x:c>
      <x:c r="F293" s="24" t="n">
        <x:v>7252</x:v>
      </x:c>
      <x:c r="G293" s="24" t="n">
        <x:v>7275.4</x:v>
      </x:c>
      <x:c r="H293" s="24"/>
      <x:c r="I293" s="25" t="n">
        <x:v>-0.001130901894260683</x:v>
      </x:c>
      <x:c r="J293" s="24" t="n">
        <x:f>ROUND(E293-F293,1)</x:f>
        <x:v>96</x:v>
      </x:c>
      <x:c r="K293" s="23" t="str">
        <x:v>IM2512</x:v>
      </x:c>
    </x:row>
    <x:row r="294">
      <x:c r="A294" s="33" t="n">
        <x:v>15</x:v>
      </x:c>
      <x:c r="B294" s="33" t="str">
        <x:v>周五</x:v>
      </x:c>
      <x:c r="C294" s="33" t="str">
        <x:v>12月19日</x:v>
      </x:c>
      <x:c r="D294" s="34" t="n">
        <x:v>7299</x:v>
      </x:c>
      <x:c r="E294" s="34" t="n">
        <x:v>7363.4</x:v>
      </x:c>
      <x:c r="F294" s="34" t="n">
        <x:v>7281.6</x:v>
      </x:c>
      <x:c r="G294" s="34" t="n">
        <x:v>7335.2</x:v>
      </x:c>
      <x:c r="H294" s="34"/>
      <x:c r="I294" s="35" t="n">
        <x:v>0.010727427115765575</x:v>
      </x:c>
      <x:c r="J294" s="34" t="n">
        <x:f>ROUND(E294-F294,1)</x:f>
        <x:v>81.8</x:v>
      </x:c>
      <x:c r="K294" s="33" t="str">
        <x:v>IM2512</x:v>
      </x:c>
    </x:row>
    <x:row r="295">
      <x:c r="A295" s="23" t="n">
        <x:v>16</x:v>
      </x:c>
      <x:c r="B295" s="23" t="str">
        <x:v>周一</x:v>
      </x:c>
      <x:c r="C295" s="23" t="str">
        <x:v>12月22日</x:v>
      </x:c>
      <x:c r="D295" s="24" t="n">
        <x:v>7180</x:v>
      </x:c>
      <x:c r="E295" s="24" t="n">
        <x:v>7253.8</x:v>
      </x:c>
      <x:c r="F295" s="24" t="n">
        <x:v>7169.8</x:v>
      </x:c>
      <x:c r="G295" s="24" t="n">
        <x:v>7203.6</x:v>
      </x:c>
      <x:c r="H295" s="24"/>
      <x:c r="I295" s="25" t="n">
        <x:v>0.008653280685541498</x:v>
      </x:c>
      <x:c r="J295" s="24" t="n">
        <x:f>ROUND(E295-F295,1)</x:f>
        <x:v>84</x:v>
      </x:c>
      <x:c r="K295" s="23" t="str">
        <x:v>IM2603</x:v>
      </x:c>
    </x:row>
    <x:row r="296">
      <x:c r="A296" s="23" t="n">
        <x:v>17</x:v>
      </x:c>
      <x:c r="B296" s="23" t="str">
        <x:v>周二</x:v>
      </x:c>
      <x:c r="C296" s="23" t="str">
        <x:v>12月23日</x:v>
      </x:c>
      <x:c r="D296" s="24" t="n">
        <x:v>7221</x:v>
      </x:c>
      <x:c r="E296" s="24" t="n">
        <x:v>7247.8</x:v>
      </x:c>
      <x:c r="F296" s="24" t="n">
        <x:v>7177.6</x:v>
      </x:c>
      <x:c r="G296" s="24" t="n">
        <x:v>7197.4</x:v>
      </x:c>
      <x:c r="H296" s="24"/>
      <x:c r="I296" s="25" t="n">
        <x:v>-0.0008606807707258746</x:v>
      </x:c>
      <x:c r="J296" s="24" t="n">
        <x:f>ROUND(E296-F296,1)</x:f>
        <x:v>70.2</x:v>
      </x:c>
      <x:c r="K296" s="23" t="str">
        <x:v>IM2603</x:v>
      </x:c>
    </x:row>
    <x:row r="297">
      <x:c r="A297" s="23" t="n">
        <x:v>18</x:v>
      </x:c>
      <x:c r="B297" s="23" t="str">
        <x:v>周三</x:v>
      </x:c>
      <x:c r="C297" s="23" t="str">
        <x:v>12月24日</x:v>
      </x:c>
      <x:c r="D297" s="24" t="n">
        <x:v>7200</x:v>
      </x:c>
      <x:c r="E297" s="24" t="n">
        <x:v>7351.6</x:v>
      </x:c>
      <x:c r="F297" s="24" t="n">
        <x:v>7193</x:v>
      </x:c>
      <x:c r="G297" s="24" t="n">
        <x:v>7327.6</x:v>
      </x:c>
      <x:c r="H297" s="24"/>
      <x:c r="I297" s="25" t="n">
        <x:v>0.018089865784866932</x:v>
      </x:c>
      <x:c r="J297" s="24" t="n">
        <x:f>ROUND(E297-F297,1)</x:f>
        <x:v>158.6</x:v>
      </x:c>
      <x:c r="K297" s="23" t="str">
        <x:v>IM2603</x:v>
      </x:c>
    </x:row>
    <x:row r="298">
      <x:c r="A298" s="23" t="n">
        <x:v>19</x:v>
      </x:c>
      <x:c r="B298" s="23" t="str">
        <x:v>周四</x:v>
      </x:c>
      <x:c r="C298" s="23" t="str">
        <x:v>12月25日</x:v>
      </x:c>
      <x:c r="D298" s="24" t="n">
        <x:v>7323.2</x:v>
      </x:c>
      <x:c r="E298" s="24" t="n">
        <x:v>7443.8</x:v>
      </x:c>
      <x:c r="F298" s="24" t="n">
        <x:v>7305.2</x:v>
      </x:c>
      <x:c r="G298" s="24" t="n">
        <x:v>7419</x:v>
      </x:c>
      <x:c r="H298" s="24"/>
      <x:c r="I298" s="25" t="n">
        <x:v>0.012473388285386688</x:v>
      </x:c>
      <x:c r="J298" s="24" t="n">
        <x:f>ROUND(E298-F298,1)</x:f>
        <x:v>138.6</x:v>
      </x:c>
      <x:c r="K298" s="23" t="str">
        <x:v>IM2603</x:v>
      </x:c>
    </x:row>
    <x:row r="299">
      <x:c r="A299" s="23" t="n">
        <x:v>20</x:v>
      </x:c>
      <x:c r="B299" s="23" t="str">
        <x:v>周五</x:v>
      </x:c>
      <x:c r="C299" s="23" t="str">
        <x:v>12月26日</x:v>
      </x:c>
      <x:c r="D299" s="24" t="n">
        <x:v>7420.4</x:v>
      </x:c>
      <x:c r="E299" s="24" t="n">
        <x:v>7526</x:v>
      </x:c>
      <x:c r="F299" s="24" t="n">
        <x:v>7420.4</x:v>
      </x:c>
      <x:c r="G299" s="24" t="n">
        <x:v>7472.4</x:v>
      </x:c>
      <x:c r="H299" s="24"/>
      <x:c r="I299" s="25" t="n">
        <x:v>0.007197735543873707</x:v>
      </x:c>
      <x:c r="J299" s="24" t="n">
        <x:f>ROUND(E299-F299,1)</x:f>
        <x:v>105.6</x:v>
      </x:c>
      <x:c r="K299" s="23" t="str">
        <x:v>IM2603</x:v>
      </x:c>
    </x:row>
    <x:row r="300">
      <x:c r="A300" s="23" t="n">
        <x:v>21</x:v>
      </x:c>
      <x:c r="B300" s="23" t="str">
        <x:v>周一</x:v>
      </x:c>
      <x:c r="C300" s="23" t="str">
        <x:v>12月29日</x:v>
      </x:c>
      <x:c r="D300" s="24" t="n">
        <x:v>7474.2</x:v>
      </x:c>
      <x:c r="E300" s="24" t="n">
        <x:v>7499</x:v>
      </x:c>
      <x:c r="F300" s="24" t="n">
        <x:v>7413.8</x:v>
      </x:c>
      <x:c r="G300" s="24" t="n">
        <x:v>7439</x:v>
      </x:c>
      <x:c r="H300" s="24"/>
      <x:c r="I300" s="25" t="n">
        <x:v>-0.004469782131577449</x:v>
      </x:c>
      <x:c r="J300" s="24" t="n">
        <x:f>ROUND(E300-F300,1)</x:f>
        <x:v>85.2</x:v>
      </x:c>
      <x:c r="K300" s="23" t="str">
        <x:v>IM2603</x:v>
      </x:c>
    </x:row>
    <x:row r="301">
      <x:c r="A301" s="23" t="n">
        <x:v>22</x:v>
      </x:c>
      <x:c r="B301" s="23" t="str">
        <x:v>周二</x:v>
      </x:c>
      <x:c r="C301" s="23" t="str">
        <x:v>12月30日</x:v>
      </x:c>
      <x:c r="D301" s="24" t="n">
        <x:v>7422.4</x:v>
      </x:c>
      <x:c r="E301" s="24" t="n">
        <x:v>7502</x:v>
      </x:c>
      <x:c r="F301" s="24" t="n">
        <x:v>7410.2</x:v>
      </x:c>
      <x:c r="G301" s="24" t="n">
        <x:v>7459.2</x:v>
      </x:c>
      <x:c r="H301" s="24"/>
      <x:c r="I301" s="25" t="n">
        <x:v>0.0027154187390778795</x:v>
      </x:c>
      <x:c r="J301" s="24" t="n">
        <x:f>ROUND(E301-F301,1)</x:f>
        <x:v>91.8</x:v>
      </x:c>
      <x:c r="K301" s="23" t="str">
        <x:v>IM2603</x:v>
      </x:c>
    </x:row>
    <x:row r="302">
      <x:c r="A302" s="23" t="n">
        <x:v>23</x:v>
      </x:c>
      <x:c r="B302" s="23" t="str">
        <x:v>周三</x:v>
      </x:c>
      <x:c r="C302" s="23" t="str">
        <x:v>12月31日</x:v>
      </x:c>
      <x:c r="D302" s="24" t="n">
        <x:v>7469.8</x:v>
      </x:c>
      <x:c r="E302" s="24" t="n">
        <x:v>7475.8</x:v>
      </x:c>
      <x:c r="F302" s="24" t="n">
        <x:v>7406</x:v>
      </x:c>
      <x:c r="G302" s="24" t="n">
        <x:v>7436.2</x:v>
      </x:c>
      <x:c r="H302" s="24"/>
      <x:c r="I302" s="25" t="n">
        <x:v>-0.0030834405834405665</x:v>
      </x:c>
      <x:c r="J302" s="24" t="n">
        <x:f>ROUND(E302-F302,1)</x:f>
        <x:v>69.8</x:v>
      </x:c>
      <x:c r="K302" s="23" t="str">
        <x:v>IM2603</x:v>
      </x:c>
    </x:row>
    <x:row r="303">
      <x:c r="A303" s="38" t="str">
        <x:v>合计</x:v>
      </x:c>
      <x:c r="B303" s="37" t="n">
        <x:v>23</x:v>
      </x:c>
      <x:c r="C303" s="37"/>
      <x:c r="D303" s="37"/>
      <x:c r="E303" s="37"/>
      <x:c r="F303" s="37"/>
      <x:c r="G303" s="37"/>
      <x:c r="H303" s="37"/>
      <x:c r="I303" s="37"/>
      <x:c r="J303" s="39" t="n">
        <x:f>ROUND(SUM(J280:J302),1)</x:f>
        <x:v>2319.2</x:v>
      </x:c>
      <x:c r="K303" s="37"/>
    </x:row>
    <x:row r="304">
      <x:c r="A304" s="38" t="str">
        <x:v>均值</x:v>
      </x:c>
      <x:c r="B304" s="37"/>
      <x:c r="C304" s="37"/>
      <x:c r="D304" s="37"/>
      <x:c r="E304" s="37"/>
      <x:c r="F304" s="37"/>
      <x:c r="G304" s="37"/>
      <x:c r="H304" s="37"/>
      <x:c r="I304" s="37"/>
      <x:c r="J304" s="41" t="n">
        <x:f>ROUND(IFERROR(AVERAGE(J280:J302),0),1)</x:f>
        <x:v>100.8</x:v>
      </x:c>
      <x:c r="K304" s="37"/>
    </x:row>
  </x:sheetData>
  <x:mergeCells>
    <x:mergeCell ref="A1:K1"/>
    <x:mergeCell ref="A3:K3"/>
    <x:mergeCell ref="A26:K26"/>
    <x:mergeCell ref="A49:K49"/>
    <x:mergeCell ref="A75:K75"/>
    <x:mergeCell ref="A101:K101"/>
    <x:mergeCell ref="A125:K125"/>
    <x:mergeCell ref="A150:K150"/>
    <x:mergeCell ref="A178:K178"/>
    <x:mergeCell ref="A204:K204"/>
    <x:mergeCell ref="A231:K231"/>
    <x:mergeCell ref="A253:K253"/>
    <x:mergeCell ref="A278:K278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4" hidden="0" customWidth="1"/>
  </x:cols>
  <x:sheetData>
    <x:row r="1" ht="38" customHeight="1">
      <x:c r="A1" s="15" t="str">
        <x:v>2025年统计 - IC主力</x:v>
      </x:c>
    </x:row>
    <x:row r="3">
      <x:c r="A3" s="17" t="str">
        <x:v>1月</x:v>
      </x:c>
      <x:c r="B3" s="17"/>
      <x:c r="C3" s="17"/>
      <x:c r="D3" s="17"/>
      <x:c r="E3" s="17"/>
      <x:c r="F3" s="17"/>
      <x:c r="G3" s="17"/>
      <x:c r="H3" s="17"/>
      <x:c r="I3" s="17"/>
      <x:c r="J3" s="17"/>
      <x:c r="K3" s="17"/>
    </x:row>
    <x:row r="4">
      <x:c r="A4" s="20" t="str">
        <x:v>序号</x:v>
      </x:c>
      <x:c r="B4" s="20" t="str">
        <x:v>星期</x:v>
      </x:c>
      <x:c r="C4" s="20" t="str">
        <x:v>日期</x:v>
      </x:c>
      <x:c r="D4" s="20" t="str">
        <x:v>开盘</x:v>
      </x:c>
      <x:c r="E4" s="20" t="str">
        <x:v>高点</x:v>
      </x:c>
      <x:c r="F4" s="20" t="str">
        <x:v>低点</x:v>
      </x:c>
      <x:c r="G4" s="20" t="str">
        <x:v>收盘</x:v>
      </x:c>
      <x:c r="H4" s="20" t="str">
        <x:v>涨跌点数</x:v>
      </x:c>
      <x:c r="I4" s="20" t="str">
        <x:v>涨幅</x:v>
      </x:c>
      <x:c r="J4" s="20" t="str">
        <x:v>振幅</x:v>
      </x:c>
      <x:c r="K4" s="20" t="str">
        <x:v>标的</x:v>
      </x:c>
    </x:row>
    <x:row r="5">
      <x:c r="A5" s="23" t="n">
        <x:v>1</x:v>
      </x:c>
      <x:c r="B5" s="23" t="str">
        <x:v>周四</x:v>
      </x:c>
      <x:c r="C5" s="23" t="str">
        <x:v>1月2日</x:v>
      </x:c>
      <x:c r="D5" s="24" t="n">
        <x:v>5650</x:v>
      </x:c>
      <x:c r="E5" s="24" t="n">
        <x:v>5663.8</x:v>
      </x:c>
      <x:c r="F5" s="24" t="n">
        <x:v>5426.6</x:v>
      </x:c>
      <x:c r="G5" s="24" t="n">
        <x:v>5485.2</x:v>
      </x:c>
      <x:c r="H5" s="24"/>
      <x:c r="I5" s="25" t="n">
        <x:v>-0.028652381795643778</x:v>
      </x:c>
      <x:c r="J5" s="29" t="n">
        <x:f>ROUND(E5-F5,1)</x:f>
        <x:v>237.2</x:v>
      </x:c>
      <x:c r="K5" s="23" t="str">
        <x:v>IC2503</x:v>
      </x:c>
    </x:row>
    <x:row r="6">
      <x:c r="A6" s="23" t="n">
        <x:v>2</x:v>
      </x:c>
      <x:c r="B6" s="23" t="str">
        <x:v>周五</x:v>
      </x:c>
      <x:c r="C6" s="23" t="str">
        <x:v>1月3日</x:v>
      </x:c>
      <x:c r="D6" s="24" t="n">
        <x:v>5500</x:v>
      </x:c>
      <x:c r="E6" s="24" t="n">
        <x:v>5520</x:v>
      </x:c>
      <x:c r="F6" s="24" t="n">
        <x:v>5361.6</x:v>
      </x:c>
      <x:c r="G6" s="24" t="n">
        <x:v>5387.6</x:v>
      </x:c>
      <x:c r="H6" s="24"/>
      <x:c r="I6" s="25" t="n">
        <x:v>-0.01779333479180334</x:v>
      </x:c>
      <x:c r="J6" s="29" t="n">
        <x:f>ROUND(E6-F6,1)</x:f>
        <x:v>158.4</x:v>
      </x:c>
      <x:c r="K6" s="23" t="str">
        <x:v>IC2503</x:v>
      </x:c>
    </x:row>
    <x:row r="7">
      <x:c r="A7" s="23" t="n">
        <x:v>3</x:v>
      </x:c>
      <x:c r="B7" s="23" t="str">
        <x:v>周一</x:v>
      </x:c>
      <x:c r="C7" s="23" t="str">
        <x:v>1月6日</x:v>
      </x:c>
      <x:c r="D7" s="24" t="n">
        <x:v>5386</x:v>
      </x:c>
      <x:c r="E7" s="24" t="n">
        <x:v>5427.6</x:v>
      </x:c>
      <x:c r="F7" s="24" t="n">
        <x:v>5338</x:v>
      </x:c>
      <x:c r="G7" s="24" t="n">
        <x:v>5370.2</x:v>
      </x:c>
      <x:c r="H7" s="24"/>
      <x:c r="I7" s="25" t="n">
        <x:v>-0.00322963842898516</x:v>
      </x:c>
      <x:c r="J7" s="24" t="n">
        <x:f>ROUND(E7-F7,1)</x:f>
        <x:v>89.6</x:v>
      </x:c>
      <x:c r="K7" s="23" t="str">
        <x:v>IC2503</x:v>
      </x:c>
    </x:row>
    <x:row r="8">
      <x:c r="A8" s="23" t="n">
        <x:v>4</x:v>
      </x:c>
      <x:c r="B8" s="23" t="str">
        <x:v>周二</x:v>
      </x:c>
      <x:c r="C8" s="23" t="str">
        <x:v>1月7日</x:v>
      </x:c>
      <x:c r="D8" s="24" t="n">
        <x:v>5372.2</x:v>
      </x:c>
      <x:c r="E8" s="24" t="n">
        <x:v>5433</x:v>
      </x:c>
      <x:c r="F8" s="24" t="n">
        <x:v>5349.2</x:v>
      </x:c>
      <x:c r="G8" s="24" t="n">
        <x:v>5423</x:v>
      </x:c>
      <x:c r="H8" s="24"/>
      <x:c r="I8" s="25" t="n">
        <x:v>0.009832036050798854</x:v>
      </x:c>
      <x:c r="J8" s="24" t="n">
        <x:f>ROUND(E8-F8,1)</x:f>
        <x:v>83.8</x:v>
      </x:c>
      <x:c r="K8" s="23" t="str">
        <x:v>IC2503</x:v>
      </x:c>
    </x:row>
    <x:row r="9">
      <x:c r="A9" s="23" t="n">
        <x:v>5</x:v>
      </x:c>
      <x:c r="B9" s="23" t="str">
        <x:v>周三</x:v>
      </x:c>
      <x:c r="C9" s="23" t="str">
        <x:v>1月8日</x:v>
      </x:c>
      <x:c r="D9" s="24" t="n">
        <x:v>5407.6</x:v>
      </x:c>
      <x:c r="E9" s="24" t="n">
        <x:v>5451.6</x:v>
      </x:c>
      <x:c r="F9" s="24" t="n">
        <x:v>5260.2</x:v>
      </x:c>
      <x:c r="G9" s="24" t="n">
        <x:v>5402.8</x:v>
      </x:c>
      <x:c r="H9" s="24"/>
      <x:c r="I9" s="25" t="n">
        <x:v>-0.0037248755301493297</x:v>
      </x:c>
      <x:c r="J9" s="29" t="n">
        <x:f>ROUND(E9-F9,1)</x:f>
        <x:v>191.4</x:v>
      </x:c>
      <x:c r="K9" s="23" t="str">
        <x:v>IC2503</x:v>
      </x:c>
    </x:row>
    <x:row r="10">
      <x:c r="A10" s="23" t="n">
        <x:v>6</x:v>
      </x:c>
      <x:c r="B10" s="23" t="str">
        <x:v>周四</x:v>
      </x:c>
      <x:c r="C10" s="23" t="str">
        <x:v>1月9日</x:v>
      </x:c>
      <x:c r="D10" s="24" t="n">
        <x:v>5385</x:v>
      </x:c>
      <x:c r="E10" s="24" t="n">
        <x:v>5436.8</x:v>
      </x:c>
      <x:c r="F10" s="24" t="n">
        <x:v>5381.2</x:v>
      </x:c>
      <x:c r="G10" s="24" t="n">
        <x:v>5390.2</x:v>
      </x:c>
      <x:c r="H10" s="24"/>
      <x:c r="I10" s="25" t="n">
        <x:v>-0.002332124083808451</x:v>
      </x:c>
      <x:c r="J10" s="24" t="n">
        <x:f>ROUND(E10-F10,1)</x:f>
        <x:v>55.6</x:v>
      </x:c>
      <x:c r="K10" s="23" t="str">
        <x:v>IC2503</x:v>
      </x:c>
    </x:row>
    <x:row r="11">
      <x:c r="A11" s="23" t="n">
        <x:v>7</x:v>
      </x:c>
      <x:c r="B11" s="23" t="str">
        <x:v>周五</x:v>
      </x:c>
      <x:c r="C11" s="23" t="str">
        <x:v>1月10日</x:v>
      </x:c>
      <x:c r="D11" s="24" t="n">
        <x:v>5392.8</x:v>
      </x:c>
      <x:c r="E11" s="24" t="n">
        <x:v>5444.8</x:v>
      </x:c>
      <x:c r="F11" s="24" t="n">
        <x:v>5315.6</x:v>
      </x:c>
      <x:c r="G11" s="24" t="n">
        <x:v>5316.2</x:v>
      </x:c>
      <x:c r="H11" s="24"/>
      <x:c r="I11" s="25" t="n">
        <x:v>-0.013728618604133436</x:v>
      </x:c>
      <x:c r="J11" s="24" t="n">
        <x:f>ROUND(E11-F11,1)</x:f>
        <x:v>129.2</x:v>
      </x:c>
      <x:c r="K11" s="23" t="str">
        <x:v>IC2503</x:v>
      </x:c>
    </x:row>
    <x:row r="12">
      <x:c r="A12" s="23" t="n">
        <x:v>8</x:v>
      </x:c>
      <x:c r="B12" s="23" t="str">
        <x:v>周一</x:v>
      </x:c>
      <x:c r="C12" s="23" t="str">
        <x:v>1月13日</x:v>
      </x:c>
      <x:c r="D12" s="24" t="n">
        <x:v>5280</x:v>
      </x:c>
      <x:c r="E12" s="24" t="n">
        <x:v>5376.8</x:v>
      </x:c>
      <x:c r="F12" s="24" t="n">
        <x:v>5273.2</x:v>
      </x:c>
      <x:c r="G12" s="24" t="n">
        <x:v>5337</x:v>
      </x:c>
      <x:c r="H12" s="24"/>
      <x:c r="I12" s="25" t="n">
        <x:v>0.003912569128324828</x:v>
      </x:c>
      <x:c r="J12" s="24" t="n">
        <x:f>ROUND(E12-F12,1)</x:f>
        <x:v>103.6</x:v>
      </x:c>
      <x:c r="K12" s="23" t="str">
        <x:v>IC2503</x:v>
      </x:c>
    </x:row>
    <x:row r="13">
      <x:c r="A13" s="23" t="n">
        <x:v>9</x:v>
      </x:c>
      <x:c r="B13" s="23" t="str">
        <x:v>周二</x:v>
      </x:c>
      <x:c r="C13" s="23" t="str">
        <x:v>1月14日</x:v>
      </x:c>
      <x:c r="D13" s="24" t="n">
        <x:v>5355.6</x:v>
      </x:c>
      <x:c r="E13" s="24" t="n">
        <x:v>5549</x:v>
      </x:c>
      <x:c r="F13" s="24" t="n">
        <x:v>5323.6</x:v>
      </x:c>
      <x:c r="G13" s="24" t="n">
        <x:v>5525</x:v>
      </x:c>
      <x:c r="H13" s="24"/>
      <x:c r="I13" s="25" t="n">
        <x:v>0.0352257822746862</x:v>
      </x:c>
      <x:c r="J13" s="29" t="n">
        <x:f>ROUND(E13-F13,1)</x:f>
        <x:v>225.4</x:v>
      </x:c>
      <x:c r="K13" s="23" t="str">
        <x:v>IC2503</x:v>
      </x:c>
    </x:row>
    <x:row r="14">
      <x:c r="A14" s="23" t="n">
        <x:v>10</x:v>
      </x:c>
      <x:c r="B14" s="23" t="str">
        <x:v>周三</x:v>
      </x:c>
      <x:c r="C14" s="23" t="str">
        <x:v>1月15日</x:v>
      </x:c>
      <x:c r="D14" s="24" t="n">
        <x:v>5515.4</x:v>
      </x:c>
      <x:c r="E14" s="24" t="n">
        <x:v>5525</x:v>
      </x:c>
      <x:c r="F14" s="24" t="n">
        <x:v>5465.6</x:v>
      </x:c>
      <x:c r="G14" s="24" t="n">
        <x:v>5481.8</x:v>
      </x:c>
      <x:c r="H14" s="24"/>
      <x:c r="I14" s="25" t="n">
        <x:v>-0.007819004524886819</x:v>
      </x:c>
      <x:c r="J14" s="24" t="n">
        <x:f>ROUND(E14-F14,1)</x:f>
        <x:v>59.4</x:v>
      </x:c>
      <x:c r="K14" s="23" t="str">
        <x:v>IC2503</x:v>
      </x:c>
    </x:row>
    <x:row r="15">
      <x:c r="A15" s="23" t="n">
        <x:v>11</x:v>
      </x:c>
      <x:c r="B15" s="23" t="str">
        <x:v>周四</x:v>
      </x:c>
      <x:c r="C15" s="23" t="str">
        <x:v>1月16日</x:v>
      </x:c>
      <x:c r="D15" s="24" t="n">
        <x:v>5505.4</x:v>
      </x:c>
      <x:c r="E15" s="24" t="n">
        <x:v>5602</x:v>
      </x:c>
      <x:c r="F15" s="24" t="n">
        <x:v>5457.2</x:v>
      </x:c>
      <x:c r="G15" s="24" t="n">
        <x:v>5493.4</x:v>
      </x:c>
      <x:c r="H15" s="24"/>
      <x:c r="I15" s="25" t="n">
        <x:v>0.0021160932540404964</x:v>
      </x:c>
      <x:c r="J15" s="24" t="n">
        <x:f>ROUND(E15-F15,1)</x:f>
        <x:v>144.8</x:v>
      </x:c>
      <x:c r="K15" s="23" t="str">
        <x:v>IC2503</x:v>
      </x:c>
    </x:row>
    <x:row r="16">
      <x:c r="A16" s="33" t="n">
        <x:v>12</x:v>
      </x:c>
      <x:c r="B16" s="33" t="str">
        <x:v>周五</x:v>
      </x:c>
      <x:c r="C16" s="33" t="str">
        <x:v>1月17日</x:v>
      </x:c>
      <x:c r="D16" s="34" t="n">
        <x:v>5480.4</x:v>
      </x:c>
      <x:c r="E16" s="34" t="n">
        <x:v>5587.8</x:v>
      </x:c>
      <x:c r="F16" s="34" t="n">
        <x:v>5468.2</x:v>
      </x:c>
      <x:c r="G16" s="34" t="n">
        <x:v>5550.8</x:v>
      </x:c>
      <x:c r="H16" s="34"/>
      <x:c r="I16" s="35" t="n">
        <x:v>0.010448902319146747</x:v>
      </x:c>
      <x:c r="J16" s="34" t="n">
        <x:f>ROUND(E16-F16,1)</x:f>
        <x:v>119.6</x:v>
      </x:c>
      <x:c r="K16" s="33" t="str">
        <x:v>IC2503</x:v>
      </x:c>
    </x:row>
    <x:row r="17">
      <x:c r="A17" s="23" t="n">
        <x:v>13</x:v>
      </x:c>
      <x:c r="B17" s="23" t="str">
        <x:v>周一</x:v>
      </x:c>
      <x:c r="C17" s="23" t="str">
        <x:v>1月20日</x:v>
      </x:c>
      <x:c r="D17" s="24" t="n">
        <x:v>5594</x:v>
      </x:c>
      <x:c r="E17" s="24" t="n">
        <x:v>5644.2</x:v>
      </x:c>
      <x:c r="F17" s="24" t="n">
        <x:v>5564.4</x:v>
      </x:c>
      <x:c r="G17" s="24" t="n">
        <x:v>5579.6</x:v>
      </x:c>
      <x:c r="H17" s="24"/>
      <x:c r="I17" s="25" t="n">
        <x:v>0.005188441305757685</x:v>
      </x:c>
      <x:c r="J17" s="24" t="n">
        <x:f>ROUND(E17-F17,1)</x:f>
        <x:v>79.8</x:v>
      </x:c>
      <x:c r="K17" s="23" t="str">
        <x:v>IC2503</x:v>
      </x:c>
    </x:row>
    <x:row r="18">
      <x:c r="A18" s="23" t="n">
        <x:v>14</x:v>
      </x:c>
      <x:c r="B18" s="23" t="str">
        <x:v>周二</x:v>
      </x:c>
      <x:c r="C18" s="23" t="str">
        <x:v>1月21日</x:v>
      </x:c>
      <x:c r="D18" s="24" t="n">
        <x:v>5615.2</x:v>
      </x:c>
      <x:c r="E18" s="24" t="n">
        <x:v>5622.4</x:v>
      </x:c>
      <x:c r="F18" s="24" t="n">
        <x:v>5536</x:v>
      </x:c>
      <x:c r="G18" s="24" t="n">
        <x:v>5595</x:v>
      </x:c>
      <x:c r="H18" s="24"/>
      <x:c r="I18" s="25" t="n">
        <x:v>0.0027600544841923647</x:v>
      </x:c>
      <x:c r="J18" s="24" t="n">
        <x:f>ROUND(E18-F18,1)</x:f>
        <x:v>86.4</x:v>
      </x:c>
      <x:c r="K18" s="23" t="str">
        <x:v>IC2503</x:v>
      </x:c>
    </x:row>
    <x:row r="19">
      <x:c r="A19" s="23" t="n">
        <x:v>15</x:v>
      </x:c>
      <x:c r="B19" s="23" t="str">
        <x:v>周三</x:v>
      </x:c>
      <x:c r="C19" s="23" t="str">
        <x:v>1月22日</x:v>
      </x:c>
      <x:c r="D19" s="24" t="n">
        <x:v>5584</x:v>
      </x:c>
      <x:c r="E19" s="24" t="n">
        <x:v>5584</x:v>
      </x:c>
      <x:c r="F19" s="24" t="n">
        <x:v>5510.2</x:v>
      </x:c>
      <x:c r="G19" s="24" t="n">
        <x:v>5572.6</x:v>
      </x:c>
      <x:c r="H19" s="24"/>
      <x:c r="I19" s="25" t="n">
        <x:v>-0.004003574620196515</x:v>
      </x:c>
      <x:c r="J19" s="24" t="n">
        <x:f>ROUND(E19-F19,1)</x:f>
        <x:v>73.8</x:v>
      </x:c>
      <x:c r="K19" s="23" t="str">
        <x:v>IC2503</x:v>
      </x:c>
    </x:row>
    <x:row r="20">
      <x:c r="A20" s="23" t="n">
        <x:v>16</x:v>
      </x:c>
      <x:c r="B20" s="23" t="str">
        <x:v>周四</x:v>
      </x:c>
      <x:c r="C20" s="23" t="str">
        <x:v>1月23日</x:v>
      </x:c>
      <x:c r="D20" s="24" t="n">
        <x:v>5631.8</x:v>
      </x:c>
      <x:c r="E20" s="24" t="n">
        <x:v>5704</x:v>
      </x:c>
      <x:c r="F20" s="24" t="n">
        <x:v>5536.6</x:v>
      </x:c>
      <x:c r="G20" s="24" t="n">
        <x:v>5540.2</x:v>
      </x:c>
      <x:c r="H20" s="24"/>
      <x:c r="I20" s="25" t="n">
        <x:v>-0.005814162150522328</x:v>
      </x:c>
      <x:c r="J20" s="29" t="n">
        <x:f>ROUND(E20-F20,1)</x:f>
        <x:v>167.4</x:v>
      </x:c>
      <x:c r="K20" s="23" t="str">
        <x:v>IC2503</x:v>
      </x:c>
    </x:row>
    <x:row r="21">
      <x:c r="A21" s="23" t="n">
        <x:v>17</x:v>
      </x:c>
      <x:c r="B21" s="23" t="str">
        <x:v>周五</x:v>
      </x:c>
      <x:c r="C21" s="23" t="str">
        <x:v>1月24日</x:v>
      </x:c>
      <x:c r="D21" s="24" t="n">
        <x:v>5545</x:v>
      </x:c>
      <x:c r="E21" s="24" t="n">
        <x:v>5648</x:v>
      </x:c>
      <x:c r="F21" s="24" t="n">
        <x:v>5540</x:v>
      </x:c>
      <x:c r="G21" s="24" t="n">
        <x:v>5638.6</x:v>
      </x:c>
      <x:c r="H21" s="24"/>
      <x:c r="I21" s="25" t="n">
        <x:v>0.017761091657340966</x:v>
      </x:c>
      <x:c r="J21" s="24" t="n">
        <x:f>ROUND(E21-F21,1)</x:f>
        <x:v>108</x:v>
      </x:c>
      <x:c r="K21" s="23" t="str">
        <x:v>IC2503</x:v>
      </x:c>
    </x:row>
    <x:row r="22">
      <x:c r="A22" s="23" t="n">
        <x:v>18</x:v>
      </x:c>
      <x:c r="B22" s="23" t="str">
        <x:v>周一</x:v>
      </x:c>
      <x:c r="C22" s="23" t="str">
        <x:v>1月27日</x:v>
      </x:c>
      <x:c r="D22" s="24" t="n">
        <x:v>5644.6</x:v>
      </x:c>
      <x:c r="E22" s="24" t="n">
        <x:v>5658.8</x:v>
      </x:c>
      <x:c r="F22" s="24" t="n">
        <x:v>5525</x:v>
      </x:c>
      <x:c r="G22" s="24" t="n">
        <x:v>5532.8</x:v>
      </x:c>
      <x:c r="H22" s="24"/>
      <x:c r="I22" s="25" t="n">
        <x:v>-0.018763522860284487</x:v>
      </x:c>
      <x:c r="J22" s="24" t="n">
        <x:f>ROUND(E22-F22,1)</x:f>
        <x:v>133.8</x:v>
      </x:c>
      <x:c r="K22" s="23" t="str">
        <x:v>IC2503</x:v>
      </x:c>
    </x:row>
    <x:row r="23">
      <x:c r="A23" s="38" t="str">
        <x:v>合计</x:v>
      </x:c>
      <x:c r="B23" s="37" t="n">
        <x:v>18</x:v>
      </x:c>
      <x:c r="C23" s="37"/>
      <x:c r="D23" s="37"/>
      <x:c r="E23" s="37"/>
      <x:c r="F23" s="37"/>
      <x:c r="G23" s="37"/>
      <x:c r="H23" s="37"/>
      <x:c r="I23" s="37"/>
      <x:c r="J23" s="39" t="n">
        <x:f>ROUND(SUM(J5:J22),1)</x:f>
        <x:v>2247.2</x:v>
      </x:c>
      <x:c r="K23" s="37"/>
    </x:row>
    <x:row r="24">
      <x:c r="A24" s="38" t="str">
        <x:v>均值</x:v>
      </x:c>
      <x:c r="B24" s="37"/>
      <x:c r="C24" s="37"/>
      <x:c r="D24" s="37"/>
      <x:c r="E24" s="37"/>
      <x:c r="F24" s="37"/>
      <x:c r="G24" s="37"/>
      <x:c r="H24" s="37"/>
      <x:c r="I24" s="37"/>
      <x:c r="J24" s="41" t="n">
        <x:f>ROUND(IFERROR(AVERAGE(J5:J22),0),1)</x:f>
        <x:v>124.8</x:v>
      </x:c>
      <x:c r="K24" s="37"/>
    </x:row>
    <x:row r="26">
      <x:c r="A26" s="17" t="str">
        <x:v>2月</x:v>
      </x:c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</x:row>
    <x:row r="27">
      <x:c r="A27" s="20" t="str">
        <x:v>序号</x:v>
      </x:c>
      <x:c r="B27" s="20" t="str">
        <x:v>星期</x:v>
      </x:c>
      <x:c r="C27" s="20" t="str">
        <x:v>日期</x:v>
      </x:c>
      <x:c r="D27" s="20" t="str">
        <x:v>开盘</x:v>
      </x:c>
      <x:c r="E27" s="20" t="str">
        <x:v>高点</x:v>
      </x:c>
      <x:c r="F27" s="20" t="str">
        <x:v>低点</x:v>
      </x:c>
      <x:c r="G27" s="20" t="str">
        <x:v>收盘</x:v>
      </x:c>
      <x:c r="H27" s="20" t="str">
        <x:v>涨跌点数</x:v>
      </x:c>
      <x:c r="I27" s="20" t="str">
        <x:v>涨幅</x:v>
      </x:c>
      <x:c r="J27" s="20" t="str">
        <x:v>振幅</x:v>
      </x:c>
      <x:c r="K27" s="20" t="str">
        <x:v>标的</x:v>
      </x:c>
    </x:row>
    <x:row r="28">
      <x:c r="A28" s="23" t="n">
        <x:v>1</x:v>
      </x:c>
      <x:c r="B28" s="23" t="str">
        <x:v>周三</x:v>
      </x:c>
      <x:c r="C28" s="23" t="str">
        <x:v>2月5日</x:v>
      </x:c>
      <x:c r="D28" s="24" t="n">
        <x:v>5592</x:v>
      </x:c>
      <x:c r="E28" s="24" t="n">
        <x:v>5613</x:v>
      </x:c>
      <x:c r="F28" s="24" t="n">
        <x:v>5540.6</x:v>
      </x:c>
      <x:c r="G28" s="24" t="n">
        <x:v>5567.8</x:v>
      </x:c>
      <x:c r="H28" s="24"/>
      <x:c r="I28" s="25" t="n">
        <x:v>0.0063259109311741835</x:v>
      </x:c>
      <x:c r="J28" s="24" t="n">
        <x:f>ROUND(E28-F28,1)</x:f>
        <x:v>72.4</x:v>
      </x:c>
      <x:c r="K28" s="23" t="str">
        <x:v>IC2503</x:v>
      </x:c>
    </x:row>
    <x:row r="29">
      <x:c r="A29" s="23" t="n">
        <x:v>2</x:v>
      </x:c>
      <x:c r="B29" s="23" t="str">
        <x:v>周四</x:v>
      </x:c>
      <x:c r="C29" s="23" t="str">
        <x:v>2月6日</x:v>
      </x:c>
      <x:c r="D29" s="24" t="n">
        <x:v>5563</x:v>
      </x:c>
      <x:c r="E29" s="24" t="n">
        <x:v>5728</x:v>
      </x:c>
      <x:c r="F29" s="24" t="n">
        <x:v>5551.4</x:v>
      </x:c>
      <x:c r="G29" s="24" t="n">
        <x:v>5712.8</x:v>
      </x:c>
      <x:c r="H29" s="24"/>
      <x:c r="I29" s="25" t="n">
        <x:v>0.026042602104960677</x:v>
      </x:c>
      <x:c r="J29" s="29" t="n">
        <x:f>ROUND(E29-F29,1)</x:f>
        <x:v>176.6</x:v>
      </x:c>
      <x:c r="K29" s="23" t="str">
        <x:v>IC2503</x:v>
      </x:c>
    </x:row>
    <x:row r="30">
      <x:c r="A30" s="23" t="n">
        <x:v>3</x:v>
      </x:c>
      <x:c r="B30" s="23" t="str">
        <x:v>周五</x:v>
      </x:c>
      <x:c r="C30" s="23" t="str">
        <x:v>2月7日</x:v>
      </x:c>
      <x:c r="D30" s="24" t="n">
        <x:v>5712.8</x:v>
      </x:c>
      <x:c r="E30" s="24" t="n">
        <x:v>5877.4</x:v>
      </x:c>
      <x:c r="F30" s="24" t="n">
        <x:v>5703.6</x:v>
      </x:c>
      <x:c r="G30" s="24" t="n">
        <x:v>5807.6</x:v>
      </x:c>
      <x:c r="H30" s="24"/>
      <x:c r="I30" s="25" t="n">
        <x:v>0.016594314521775733</x:v>
      </x:c>
      <x:c r="J30" s="29" t="n">
        <x:f>ROUND(E30-F30,1)</x:f>
        <x:v>173.8</x:v>
      </x:c>
      <x:c r="K30" s="23" t="str">
        <x:v>IC2503</x:v>
      </x:c>
    </x:row>
    <x:row r="31">
      <x:c r="A31" s="23" t="n">
        <x:v>4</x:v>
      </x:c>
      <x:c r="B31" s="23" t="str">
        <x:v>周一</x:v>
      </x:c>
      <x:c r="C31" s="23" t="str">
        <x:v>2月10日</x:v>
      </x:c>
      <x:c r="D31" s="24" t="n">
        <x:v>5832</x:v>
      </x:c>
      <x:c r="E31" s="24" t="n">
        <x:v>5863.8</x:v>
      </x:c>
      <x:c r="F31" s="24" t="n">
        <x:v>5804</x:v>
      </x:c>
      <x:c r="G31" s="24" t="n">
        <x:v>5844</x:v>
      </x:c>
      <x:c r="H31" s="24"/>
      <x:c r="I31" s="25" t="n">
        <x:v>0.006267649287140964</x:v>
      </x:c>
      <x:c r="J31" s="24" t="n">
        <x:f>ROUND(E31-F31,1)</x:f>
        <x:v>59.8</x:v>
      </x:c>
      <x:c r="K31" s="23" t="str">
        <x:v>IC2503</x:v>
      </x:c>
    </x:row>
    <x:row r="32">
      <x:c r="A32" s="23" t="n">
        <x:v>5</x:v>
      </x:c>
      <x:c r="B32" s="23" t="str">
        <x:v>周二</x:v>
      </x:c>
      <x:c r="C32" s="23" t="str">
        <x:v>2月11日</x:v>
      </x:c>
      <x:c r="D32" s="24" t="n">
        <x:v>5848.8</x:v>
      </x:c>
      <x:c r="E32" s="24" t="n">
        <x:v>5848.8</x:v>
      </x:c>
      <x:c r="F32" s="24" t="n">
        <x:v>5782.6</x:v>
      </x:c>
      <x:c r="G32" s="24" t="n">
        <x:v>5822.8</x:v>
      </x:c>
      <x:c r="H32" s="24"/>
      <x:c r="I32" s="25" t="n">
        <x:v>-0.0036276522929500343</x:v>
      </x:c>
      <x:c r="J32" s="24" t="n">
        <x:f>ROUND(E32-F32,1)</x:f>
        <x:v>66.2</x:v>
      </x:c>
      <x:c r="K32" s="23" t="str">
        <x:v>IC2503</x:v>
      </x:c>
    </x:row>
    <x:row r="33">
      <x:c r="A33" s="23" t="n">
        <x:v>6</x:v>
      </x:c>
      <x:c r="B33" s="23" t="str">
        <x:v>周三</x:v>
      </x:c>
      <x:c r="C33" s="23" t="str">
        <x:v>2月12日</x:v>
      </x:c>
      <x:c r="D33" s="24" t="n">
        <x:v>5811.4</x:v>
      </x:c>
      <x:c r="E33" s="24" t="n">
        <x:v>5916.2</x:v>
      </x:c>
      <x:c r="F33" s="24" t="n">
        <x:v>5809.4</x:v>
      </x:c>
      <x:c r="G33" s="24" t="n">
        <x:v>5902.6</x:v>
      </x:c>
      <x:c r="H33" s="24"/>
      <x:c r="I33" s="25" t="n">
        <x:v>0.013704746857182037</x:v>
      </x:c>
      <x:c r="J33" s="24" t="n">
        <x:f>ROUND(E33-F33,1)</x:f>
        <x:v>106.8</x:v>
      </x:c>
      <x:c r="K33" s="23" t="str">
        <x:v>IC2503</x:v>
      </x:c>
    </x:row>
    <x:row r="34">
      <x:c r="A34" s="23" t="n">
        <x:v>7</x:v>
      </x:c>
      <x:c r="B34" s="23" t="str">
        <x:v>周四</x:v>
      </x:c>
      <x:c r="C34" s="23" t="str">
        <x:v>2月13日</x:v>
      </x:c>
      <x:c r="D34" s="24" t="n">
        <x:v>5895</x:v>
      </x:c>
      <x:c r="E34" s="24" t="n">
        <x:v>5917.8</x:v>
      </x:c>
      <x:c r="F34" s="24" t="n">
        <x:v>5850</x:v>
      </x:c>
      <x:c r="G34" s="24" t="n">
        <x:v>5873</x:v>
      </x:c>
      <x:c r="H34" s="24"/>
      <x:c r="I34" s="25" t="n">
        <x:v>-0.005014739267441559</x:v>
      </x:c>
      <x:c r="J34" s="24" t="n">
        <x:f>ROUND(E34-F34,1)</x:f>
        <x:v>67.8</x:v>
      </x:c>
      <x:c r="K34" s="23" t="str">
        <x:v>IC2503</x:v>
      </x:c>
    </x:row>
    <x:row r="35">
      <x:c r="A35" s="23" t="n">
        <x:v>8</x:v>
      </x:c>
      <x:c r="B35" s="23" t="str">
        <x:v>周五</x:v>
      </x:c>
      <x:c r="C35" s="23" t="str">
        <x:v>2月14日</x:v>
      </x:c>
      <x:c r="D35" s="24" t="n">
        <x:v>5878.2</x:v>
      </x:c>
      <x:c r="E35" s="24" t="n">
        <x:v>5933.8</x:v>
      </x:c>
      <x:c r="F35" s="24" t="n">
        <x:v>5855</x:v>
      </x:c>
      <x:c r="G35" s="24" t="n">
        <x:v>5925</x:v>
      </x:c>
      <x:c r="H35" s="24"/>
      <x:c r="I35" s="25" t="n">
        <x:v>0.008854077983994513</x:v>
      </x:c>
      <x:c r="J35" s="24" t="n">
        <x:f>ROUND(E35-F35,1)</x:f>
        <x:v>78.8</x:v>
      </x:c>
      <x:c r="K35" s="23" t="str">
        <x:v>IC2503</x:v>
      </x:c>
    </x:row>
    <x:row r="36">
      <x:c r="A36" s="23" t="n">
        <x:v>9</x:v>
      </x:c>
      <x:c r="B36" s="23" t="str">
        <x:v>周一</x:v>
      </x:c>
      <x:c r="C36" s="23" t="str">
        <x:v>2月17日</x:v>
      </x:c>
      <x:c r="D36" s="24" t="n">
        <x:v>5958</x:v>
      </x:c>
      <x:c r="E36" s="24" t="n">
        <x:v>5960</x:v>
      </x:c>
      <x:c r="F36" s="24" t="n">
        <x:v>5860.6</x:v>
      </x:c>
      <x:c r="G36" s="24" t="n">
        <x:v>5909.4</x:v>
      </x:c>
      <x:c r="H36" s="24"/>
      <x:c r="I36" s="25" t="n">
        <x:v>-0.0026329113924051795</x:v>
      </x:c>
      <x:c r="J36" s="24" t="n">
        <x:f>ROUND(E36-F36,1)</x:f>
        <x:v>99.4</x:v>
      </x:c>
      <x:c r="K36" s="23" t="str">
        <x:v>IC2503</x:v>
      </x:c>
    </x:row>
    <x:row r="37">
      <x:c r="A37" s="23" t="n">
        <x:v>10</x:v>
      </x:c>
      <x:c r="B37" s="23" t="str">
        <x:v>周二</x:v>
      </x:c>
      <x:c r="C37" s="23" t="str">
        <x:v>2月18日</x:v>
      </x:c>
      <x:c r="D37" s="24" t="n">
        <x:v>5900.6</x:v>
      </x:c>
      <x:c r="E37" s="24" t="n">
        <x:v>5919.2</x:v>
      </x:c>
      <x:c r="F37" s="24" t="n">
        <x:v>5783</x:v>
      </x:c>
      <x:c r="G37" s="24" t="n">
        <x:v>5822.6</x:v>
      </x:c>
      <x:c r="H37" s="24"/>
      <x:c r="I37" s="25" t="n">
        <x:v>-0.014688462449656381</x:v>
      </x:c>
      <x:c r="J37" s="24" t="n">
        <x:f>ROUND(E37-F37,1)</x:f>
        <x:v>136.2</x:v>
      </x:c>
      <x:c r="K37" s="23" t="str">
        <x:v>IC2503</x:v>
      </x:c>
    </x:row>
    <x:row r="38">
      <x:c r="A38" s="23" t="n">
        <x:v>11</x:v>
      </x:c>
      <x:c r="B38" s="23" t="str">
        <x:v>周三</x:v>
      </x:c>
      <x:c r="C38" s="23" t="str">
        <x:v>2月19日</x:v>
      </x:c>
      <x:c r="D38" s="24" t="n">
        <x:v>5822.6</x:v>
      </x:c>
      <x:c r="E38" s="24" t="n">
        <x:v>5924.6</x:v>
      </x:c>
      <x:c r="F38" s="24" t="n">
        <x:v>5806.6</x:v>
      </x:c>
      <x:c r="G38" s="24" t="n">
        <x:v>5913.4</x:v>
      </x:c>
      <x:c r="H38" s="24"/>
      <x:c r="I38" s="25" t="n">
        <x:v>0.01559440799642764</x:v>
      </x:c>
      <x:c r="J38" s="24" t="n">
        <x:f>ROUND(E38-F38,1)</x:f>
        <x:v>118</x:v>
      </x:c>
      <x:c r="K38" s="23" t="str">
        <x:v>IC2503</x:v>
      </x:c>
    </x:row>
    <x:row r="39">
      <x:c r="A39" s="23" t="n">
        <x:v>12</x:v>
      </x:c>
      <x:c r="B39" s="23" t="str">
        <x:v>周四</x:v>
      </x:c>
      <x:c r="C39" s="23" t="str">
        <x:v>2月20日</x:v>
      </x:c>
      <x:c r="D39" s="24" t="n">
        <x:v>5895</x:v>
      </x:c>
      <x:c r="E39" s="24" t="n">
        <x:v>5948.8</x:v>
      </x:c>
      <x:c r="F39" s="24" t="n">
        <x:v>5881.8</x:v>
      </x:c>
      <x:c r="G39" s="24" t="n">
        <x:v>5918</x:v>
      </x:c>
      <x:c r="H39" s="24"/>
      <x:c r="I39" s="25" t="n">
        <x:v>0.0007778942740217509</x:v>
      </x:c>
      <x:c r="J39" s="24" t="n">
        <x:f>ROUND(E39-F39,1)</x:f>
        <x:v>67</x:v>
      </x:c>
      <x:c r="K39" s="23" t="str">
        <x:v>IC2503</x:v>
      </x:c>
    </x:row>
    <x:row r="40">
      <x:c r="A40" s="33" t="n">
        <x:v>13</x:v>
      </x:c>
      <x:c r="B40" s="33" t="str">
        <x:v>周五</x:v>
      </x:c>
      <x:c r="C40" s="33" t="str">
        <x:v>2月21日</x:v>
      </x:c>
      <x:c r="D40" s="34" t="n">
        <x:v>5933</x:v>
      </x:c>
      <x:c r="E40" s="34" t="n">
        <x:v>6048.2</x:v>
      </x:c>
      <x:c r="F40" s="34" t="n">
        <x:v>5909</x:v>
      </x:c>
      <x:c r="G40" s="34" t="n">
        <x:v>6028.8</x:v>
      </x:c>
      <x:c r="H40" s="34"/>
      <x:c r="I40" s="35" t="n">
        <x:v>0.01872254139912144</x:v>
      </x:c>
      <x:c r="J40" s="34" t="n">
        <x:f>ROUND(E40-F40,1)</x:f>
        <x:v>139.2</x:v>
      </x:c>
      <x:c r="K40" s="33" t="str">
        <x:v>IC2503</x:v>
      </x:c>
    </x:row>
    <x:row r="41">
      <x:c r="A41" s="23" t="n">
        <x:v>14</x:v>
      </x:c>
      <x:c r="B41" s="23" t="str">
        <x:v>周一</x:v>
      </x:c>
      <x:c r="C41" s="23" t="str">
        <x:v>2月24日</x:v>
      </x:c>
      <x:c r="D41" s="24" t="n">
        <x:v>6025</x:v>
      </x:c>
      <x:c r="E41" s="24" t="n">
        <x:v>6030</x:v>
      </x:c>
      <x:c r="F41" s="24" t="n">
        <x:v>5958</x:v>
      </x:c>
      <x:c r="G41" s="24" t="n">
        <x:v>5994.4</x:v>
      </x:c>
      <x:c r="H41" s="24"/>
      <x:c r="I41" s="25" t="n">
        <x:v>-0.005705944798301554</x:v>
      </x:c>
      <x:c r="J41" s="24" t="n">
        <x:f>ROUND(E41-F41,1)</x:f>
        <x:v>72</x:v>
      </x:c>
      <x:c r="K41" s="23" t="str">
        <x:v>IC2503</x:v>
      </x:c>
    </x:row>
    <x:row r="42">
      <x:c r="A42" s="23" t="n">
        <x:v>15</x:v>
      </x:c>
      <x:c r="B42" s="23" t="str">
        <x:v>周二</x:v>
      </x:c>
      <x:c r="C42" s="23" t="str">
        <x:v>2月25日</x:v>
      </x:c>
      <x:c r="D42" s="24" t="n">
        <x:v>5948</x:v>
      </x:c>
      <x:c r="E42" s="24" t="n">
        <x:v>5998.8</x:v>
      </x:c>
      <x:c r="F42" s="24" t="n">
        <x:v>5916.6</x:v>
      </x:c>
      <x:c r="G42" s="24" t="n">
        <x:v>5950.4</x:v>
      </x:c>
      <x:c r="H42" s="24"/>
      <x:c r="I42" s="25" t="n">
        <x:v>-0.007340184171893749</x:v>
      </x:c>
      <x:c r="J42" s="24" t="n">
        <x:f>ROUND(E42-F42,1)</x:f>
        <x:v>82.2</x:v>
      </x:c>
      <x:c r="K42" s="23" t="str">
        <x:v>IC2503</x:v>
      </x:c>
    </x:row>
    <x:row r="43">
      <x:c r="A43" s="23" t="n">
        <x:v>16</x:v>
      </x:c>
      <x:c r="B43" s="23" t="str">
        <x:v>周三</x:v>
      </x:c>
      <x:c r="C43" s="23" t="str">
        <x:v>2月26日</x:v>
      </x:c>
      <x:c r="D43" s="24" t="n">
        <x:v>5962.4</x:v>
      </x:c>
      <x:c r="E43" s="24" t="n">
        <x:v>6029.6</x:v>
      </x:c>
      <x:c r="F43" s="24" t="n">
        <x:v>5922.6</x:v>
      </x:c>
      <x:c r="G43" s="24" t="n">
        <x:v>5997</x:v>
      </x:c>
      <x:c r="H43" s="24"/>
      <x:c r="I43" s="25" t="n">
        <x:v>0.007831406292013954</x:v>
      </x:c>
      <x:c r="J43" s="24" t="n">
        <x:f>ROUND(E43-F43,1)</x:f>
        <x:v>107</x:v>
      </x:c>
      <x:c r="K43" s="23" t="str">
        <x:v>IC2503</x:v>
      </x:c>
    </x:row>
    <x:row r="44">
      <x:c r="A44" s="23" t="n">
        <x:v>17</x:v>
      </x:c>
      <x:c r="B44" s="23" t="str">
        <x:v>周四</x:v>
      </x:c>
      <x:c r="C44" s="23" t="str">
        <x:v>2月27日</x:v>
      </x:c>
      <x:c r="D44" s="24" t="n">
        <x:v>5990.6</x:v>
      </x:c>
      <x:c r="E44" s="24" t="n">
        <x:v>6014.4</x:v>
      </x:c>
      <x:c r="F44" s="24" t="n">
        <x:v>5888.6</x:v>
      </x:c>
      <x:c r="G44" s="24" t="n">
        <x:v>5982.4</x:v>
      </x:c>
      <x:c r="H44" s="24"/>
      <x:c r="I44" s="25" t="n">
        <x:v>-0.002434550608637731</x:v>
      </x:c>
      <x:c r="J44" s="24" t="n">
        <x:f>ROUND(E44-F44,1)</x:f>
        <x:v>125.8</x:v>
      </x:c>
      <x:c r="K44" s="23" t="str">
        <x:v>IC2503</x:v>
      </x:c>
    </x:row>
    <x:row r="45">
      <x:c r="A45" s="23" t="n">
        <x:v>18</x:v>
      </x:c>
      <x:c r="B45" s="23" t="str">
        <x:v>周五</x:v>
      </x:c>
      <x:c r="C45" s="23" t="str">
        <x:v>2月28日</x:v>
      </x:c>
      <x:c r="D45" s="24" t="n">
        <x:v>5961.2</x:v>
      </x:c>
      <x:c r="E45" s="24" t="n">
        <x:v>5965</x:v>
      </x:c>
      <x:c r="F45" s="24" t="n">
        <x:v>5808.4</x:v>
      </x:c>
      <x:c r="G45" s="24" t="n">
        <x:v>5838.4</x:v>
      </x:c>
      <x:c r="H45" s="24"/>
      <x:c r="I45" s="25" t="n">
        <x:v>-0.024070607114201614</x:v>
      </x:c>
      <x:c r="J45" s="29" t="n">
        <x:f>ROUND(E45-F45,1)</x:f>
        <x:v>156.6</x:v>
      </x:c>
      <x:c r="K45" s="23" t="str">
        <x:v>IC2503</x:v>
      </x:c>
    </x:row>
    <x:row r="46">
      <x:c r="A46" s="38" t="str">
        <x:v>合计</x:v>
      </x:c>
      <x:c r="B46" s="37" t="n">
        <x:v>18</x:v>
      </x:c>
      <x:c r="C46" s="37"/>
      <x:c r="D46" s="37"/>
      <x:c r="E46" s="37"/>
      <x:c r="F46" s="37"/>
      <x:c r="G46" s="37"/>
      <x:c r="H46" s="37"/>
      <x:c r="I46" s="37"/>
      <x:c r="J46" s="39" t="n">
        <x:f>ROUND(SUM(J28:J45),1)</x:f>
        <x:v>1905.6</x:v>
      </x:c>
      <x:c r="K46" s="37"/>
    </x:row>
    <x:row r="47">
      <x:c r="A47" s="38" t="str">
        <x:v>均值</x:v>
      </x:c>
      <x:c r="B47" s="37"/>
      <x:c r="C47" s="37"/>
      <x:c r="D47" s="37"/>
      <x:c r="E47" s="37"/>
      <x:c r="F47" s="37"/>
      <x:c r="G47" s="37"/>
      <x:c r="H47" s="37"/>
      <x:c r="I47" s="37"/>
      <x:c r="J47" s="41" t="n">
        <x:f>ROUND(IFERROR(AVERAGE(J28:J45),0),1)</x:f>
        <x:v>105.9</x:v>
      </x:c>
      <x:c r="K47" s="37"/>
    </x:row>
    <x:row r="49">
      <x:c r="A49" s="17" t="str">
        <x:v>3月</x:v>
      </x:c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</x:row>
    <x:row r="50">
      <x:c r="A50" s="20" t="str">
        <x:v>序号</x:v>
      </x:c>
      <x:c r="B50" s="20" t="str">
        <x:v>星期</x:v>
      </x:c>
      <x:c r="C50" s="20" t="str">
        <x:v>日期</x:v>
      </x:c>
      <x:c r="D50" s="20" t="str">
        <x:v>开盘</x:v>
      </x:c>
      <x:c r="E50" s="20" t="str">
        <x:v>高点</x:v>
      </x:c>
      <x:c r="F50" s="20" t="str">
        <x:v>低点</x:v>
      </x:c>
      <x:c r="G50" s="20" t="str">
        <x:v>收盘</x:v>
      </x:c>
      <x:c r="H50" s="20" t="str">
        <x:v>涨跌点数</x:v>
      </x:c>
      <x:c r="I50" s="20" t="str">
        <x:v>涨幅</x:v>
      </x:c>
      <x:c r="J50" s="20" t="str">
        <x:v>振幅</x:v>
      </x:c>
      <x:c r="K50" s="20" t="str">
        <x:v>标的</x:v>
      </x:c>
    </x:row>
    <x:row r="51">
      <x:c r="A51" s="23" t="n">
        <x:v>1</x:v>
      </x:c>
      <x:c r="B51" s="23" t="str">
        <x:v>周一</x:v>
      </x:c>
      <x:c r="C51" s="23" t="str">
        <x:v>3月3日</x:v>
      </x:c>
      <x:c r="D51" s="24" t="n">
        <x:v>5853</x:v>
      </x:c>
      <x:c r="E51" s="24" t="n">
        <x:v>5938</x:v>
      </x:c>
      <x:c r="F51" s="24" t="n">
        <x:v>5822.2</x:v>
      </x:c>
      <x:c r="G51" s="24" t="n">
        <x:v>5847.2</x:v>
      </x:c>
      <x:c r="H51" s="24"/>
      <x:c r="I51" s="25" t="n">
        <x:v>0.0015072622636338462</x:v>
      </x:c>
      <x:c r="J51" s="24" t="n">
        <x:f>ROUND(E51-F51,1)</x:f>
        <x:v>115.8</x:v>
      </x:c>
      <x:c r="K51" s="23" t="str">
        <x:v>IC2503</x:v>
      </x:c>
    </x:row>
    <x:row r="52">
      <x:c r="A52" s="23" t="n">
        <x:v>2</x:v>
      </x:c>
      <x:c r="B52" s="23" t="str">
        <x:v>周二</x:v>
      </x:c>
      <x:c r="C52" s="23" t="str">
        <x:v>3月4日</x:v>
      </x:c>
      <x:c r="D52" s="24" t="n">
        <x:v>5810.6</x:v>
      </x:c>
      <x:c r="E52" s="24" t="n">
        <x:v>5921.4</x:v>
      </x:c>
      <x:c r="F52" s="24" t="n">
        <x:v>5810</x:v>
      </x:c>
      <x:c r="G52" s="24" t="n">
        <x:v>5896.4</x:v>
      </x:c>
      <x:c r="H52" s="24"/>
      <x:c r="I52" s="25" t="n">
        <x:v>0.008414283759748287</x:v>
      </x:c>
      <x:c r="J52" s="24" t="n">
        <x:f>ROUND(E52-F52,1)</x:f>
        <x:v>111.4</x:v>
      </x:c>
      <x:c r="K52" s="23" t="str">
        <x:v>IC2503</x:v>
      </x:c>
    </x:row>
    <x:row r="53">
      <x:c r="A53" s="23" t="n">
        <x:v>3</x:v>
      </x:c>
      <x:c r="B53" s="23" t="str">
        <x:v>周三</x:v>
      </x:c>
      <x:c r="C53" s="23" t="str">
        <x:v>3月5日</x:v>
      </x:c>
      <x:c r="D53" s="24" t="n">
        <x:v>5900</x:v>
      </x:c>
      <x:c r="E53" s="24" t="n">
        <x:v>5919</x:v>
      </x:c>
      <x:c r="F53" s="24" t="n">
        <x:v>5837</x:v>
      </x:c>
      <x:c r="G53" s="24" t="n">
        <x:v>5905.8</x:v>
      </x:c>
      <x:c r="H53" s="24"/>
      <x:c r="I53" s="25" t="n">
        <x:v>0.0015941930669562954</x:v>
      </x:c>
      <x:c r="J53" s="24" t="n">
        <x:f>ROUND(E53-F53,1)</x:f>
        <x:v>82</x:v>
      </x:c>
      <x:c r="K53" s="23" t="str">
        <x:v>IC2503</x:v>
      </x:c>
    </x:row>
    <x:row r="54">
      <x:c r="A54" s="23" t="n">
        <x:v>4</x:v>
      </x:c>
      <x:c r="B54" s="23" t="str">
        <x:v>周四</x:v>
      </x:c>
      <x:c r="C54" s="23" t="str">
        <x:v>3月6日</x:v>
      </x:c>
      <x:c r="D54" s="24" t="n">
        <x:v>5941</x:v>
      </x:c>
      <x:c r="E54" s="24" t="n">
        <x:v>6047</x:v>
      </x:c>
      <x:c r="F54" s="24" t="n">
        <x:v>5940</x:v>
      </x:c>
      <x:c r="G54" s="24" t="n">
        <x:v>6020</x:v>
      </x:c>
      <x:c r="H54" s="24"/>
      <x:c r="I54" s="25" t="n">
        <x:v>0.01933692302482304</x:v>
      </x:c>
      <x:c r="J54" s="24" t="n">
        <x:f>ROUND(E54-F54,1)</x:f>
        <x:v>107</x:v>
      </x:c>
      <x:c r="K54" s="23" t="str">
        <x:v>IC2503</x:v>
      </x:c>
    </x:row>
    <x:row r="55">
      <x:c r="A55" s="23" t="n">
        <x:v>5</x:v>
      </x:c>
      <x:c r="B55" s="23" t="str">
        <x:v>周五</x:v>
      </x:c>
      <x:c r="C55" s="23" t="str">
        <x:v>3月7日</x:v>
      </x:c>
      <x:c r="D55" s="24" t="n">
        <x:v>6006</x:v>
      </x:c>
      <x:c r="E55" s="24" t="n">
        <x:v>6036</x:v>
      </x:c>
      <x:c r="F55" s="24" t="n">
        <x:v>5968.2</x:v>
      </x:c>
      <x:c r="G55" s="24" t="n">
        <x:v>5992.4</x:v>
      </x:c>
      <x:c r="H55" s="24"/>
      <x:c r="I55" s="25" t="n">
        <x:v>-0.004584717607973521</x:v>
      </x:c>
      <x:c r="J55" s="24" t="n">
        <x:f>ROUND(E55-F55,1)</x:f>
        <x:v>67.8</x:v>
      </x:c>
      <x:c r="K55" s="23" t="str">
        <x:v>IC2503</x:v>
      </x:c>
    </x:row>
    <x:row r="56">
      <x:c r="A56" s="23" t="n">
        <x:v>6</x:v>
      </x:c>
      <x:c r="B56" s="23" t="str">
        <x:v>周一</x:v>
      </x:c>
      <x:c r="C56" s="23" t="str">
        <x:v>3月10日</x:v>
      </x:c>
      <x:c r="D56" s="24" t="n">
        <x:v>5985</x:v>
      </x:c>
      <x:c r="E56" s="24" t="n">
        <x:v>6008.4</x:v>
      </x:c>
      <x:c r="F56" s="24" t="n">
        <x:v>5920.2</x:v>
      </x:c>
      <x:c r="G56" s="24" t="n">
        <x:v>5961.2</x:v>
      </x:c>
      <x:c r="H56" s="24"/>
      <x:c r="I56" s="25" t="n">
        <x:v>-0.005206595020359139</x:v>
      </x:c>
      <x:c r="J56" s="24" t="n">
        <x:f>ROUND(E56-F56,1)</x:f>
        <x:v>88.2</x:v>
      </x:c>
      <x:c r="K56" s="23" t="str">
        <x:v>IC2503</x:v>
      </x:c>
    </x:row>
    <x:row r="57">
      <x:c r="A57" s="23" t="n">
        <x:v>7</x:v>
      </x:c>
      <x:c r="B57" s="23" t="str">
        <x:v>周二</x:v>
      </x:c>
      <x:c r="C57" s="23" t="str">
        <x:v>3月11日</x:v>
      </x:c>
      <x:c r="D57" s="24" t="n">
        <x:v>5906</x:v>
      </x:c>
      <x:c r="E57" s="24" t="n">
        <x:v>6011.8</x:v>
      </x:c>
      <x:c r="F57" s="24" t="n">
        <x:v>5901</x:v>
      </x:c>
      <x:c r="G57" s="24" t="n">
        <x:v>6011</x:v>
      </x:c>
      <x:c r="H57" s="24"/>
      <x:c r="I57" s="25" t="n">
        <x:v>0.008354022679997408</x:v>
      </x:c>
      <x:c r="J57" s="24" t="n">
        <x:f>ROUND(E57-F57,1)</x:f>
        <x:v>110.8</x:v>
      </x:c>
      <x:c r="K57" s="23" t="str">
        <x:v>IC2503</x:v>
      </x:c>
    </x:row>
    <x:row r="58">
      <x:c r="A58" s="23" t="n">
        <x:v>8</x:v>
      </x:c>
      <x:c r="B58" s="23" t="str">
        <x:v>周三</x:v>
      </x:c>
      <x:c r="C58" s="23" t="str">
        <x:v>3月12日</x:v>
      </x:c>
      <x:c r="D58" s="24" t="n">
        <x:v>6028.6</x:v>
      </x:c>
      <x:c r="E58" s="24" t="n">
        <x:v>6079.8</x:v>
      </x:c>
      <x:c r="F58" s="24" t="n">
        <x:v>5998.6</x:v>
      </x:c>
      <x:c r="G58" s="24" t="n">
        <x:v>6019</x:v>
      </x:c>
      <x:c r="H58" s="24"/>
      <x:c r="I58" s="25" t="n">
        <x:v>0.0013308933621694052</x:v>
      </x:c>
      <x:c r="J58" s="24" t="n">
        <x:f>ROUND(E58-F58,1)</x:f>
        <x:v>81.2</x:v>
      </x:c>
      <x:c r="K58" s="23" t="str">
        <x:v>IC2503</x:v>
      </x:c>
    </x:row>
    <x:row r="59">
      <x:c r="A59" s="23" t="n">
        <x:v>9</x:v>
      </x:c>
      <x:c r="B59" s="23" t="str">
        <x:v>周四</x:v>
      </x:c>
      <x:c r="C59" s="23" t="str">
        <x:v>3月13日</x:v>
      </x:c>
      <x:c r="D59" s="24" t="n">
        <x:v>6013.4</x:v>
      </x:c>
      <x:c r="E59" s="24" t="n">
        <x:v>6027.8</x:v>
      </x:c>
      <x:c r="F59" s="24" t="n">
        <x:v>5914.6</x:v>
      </x:c>
      <x:c r="G59" s="24" t="n">
        <x:v>5967.8</x:v>
      </x:c>
      <x:c r="H59" s="24"/>
      <x:c r="I59" s="25" t="n">
        <x:v>-0.00850639641136397</x:v>
      </x:c>
      <x:c r="J59" s="24" t="n">
        <x:f>ROUND(E59-F59,1)</x:f>
        <x:v>113.2</x:v>
      </x:c>
      <x:c r="K59" s="23" t="str">
        <x:v>IC2503</x:v>
      </x:c>
    </x:row>
    <x:row r="60">
      <x:c r="A60" s="23" t="n">
        <x:v>10</x:v>
      </x:c>
      <x:c r="B60" s="23" t="str">
        <x:v>周五</x:v>
      </x:c>
      <x:c r="C60" s="23" t="str">
        <x:v>3月14日</x:v>
      </x:c>
      <x:c r="D60" s="24" t="n">
        <x:v>5970.2</x:v>
      </x:c>
      <x:c r="E60" s="24" t="n">
        <x:v>6099.2</x:v>
      </x:c>
      <x:c r="F60" s="24" t="n">
        <x:v>5951.4</x:v>
      </x:c>
      <x:c r="G60" s="24" t="n">
        <x:v>6096.2</x:v>
      </x:c>
      <x:c r="H60" s="24"/>
      <x:c r="I60" s="25" t="n">
        <x:v>0.021515466336003097</x:v>
      </x:c>
      <x:c r="J60" s="24" t="n">
        <x:f>ROUND(E60-F60,1)</x:f>
        <x:v>147.8</x:v>
      </x:c>
      <x:c r="K60" s="23" t="str">
        <x:v>IC2503</x:v>
      </x:c>
    </x:row>
    <x:row r="61">
      <x:c r="A61" s="23" t="n">
        <x:v>11</x:v>
      </x:c>
      <x:c r="B61" s="23" t="str">
        <x:v>周一</x:v>
      </x:c>
      <x:c r="C61" s="23" t="str">
        <x:v>3月17日</x:v>
      </x:c>
      <x:c r="D61" s="24" t="n">
        <x:v>6109</x:v>
      </x:c>
      <x:c r="E61" s="24" t="n">
        <x:v>6110</x:v>
      </x:c>
      <x:c r="F61" s="24" t="n">
        <x:v>6077.2</x:v>
      </x:c>
      <x:c r="G61" s="24" t="n">
        <x:v>6083</x:v>
      </x:c>
      <x:c r="H61" s="24"/>
      <x:c r="I61" s="25" t="n">
        <x:v>-0.0021652832912305575</x:v>
      </x:c>
      <x:c r="J61" s="24" t="n">
        <x:f>ROUND(E61-F61,1)</x:f>
        <x:v>32.8</x:v>
      </x:c>
      <x:c r="K61" s="23" t="str">
        <x:v>IC2503</x:v>
      </x:c>
    </x:row>
    <x:row r="62">
      <x:c r="A62" s="23" t="n">
        <x:v>12</x:v>
      </x:c>
      <x:c r="B62" s="23" t="str">
        <x:v>周二</x:v>
      </x:c>
      <x:c r="C62" s="23" t="str">
        <x:v>3月18日</x:v>
      </x:c>
      <x:c r="D62" s="24" t="n">
        <x:v>6105</x:v>
      </x:c>
      <x:c r="E62" s="24" t="n">
        <x:v>6165</x:v>
      </x:c>
      <x:c r="F62" s="24" t="n">
        <x:v>6094.6</x:v>
      </x:c>
      <x:c r="G62" s="24" t="n">
        <x:v>6112.4</x:v>
      </x:c>
      <x:c r="H62" s="24"/>
      <x:c r="I62" s="25" t="n">
        <x:v>-0.019628472793029705</x:v>
      </x:c>
      <x:c r="J62" s="24" t="n">
        <x:f>ROUND(E62-F62,1)</x:f>
        <x:v>70.4</x:v>
      </x:c>
      <x:c r="K62" s="23" t="str">
        <x:v>IC2503</x:v>
      </x:c>
    </x:row>
    <x:row r="63">
      <x:c r="A63" s="23" t="n">
        <x:v>13</x:v>
      </x:c>
      <x:c r="B63" s="23" t="str">
        <x:v>周三</x:v>
      </x:c>
      <x:c r="C63" s="23" t="str">
        <x:v>3月19日</x:v>
      </x:c>
      <x:c r="D63" s="24" t="n">
        <x:v>6099.8</x:v>
      </x:c>
      <x:c r="E63" s="24" t="n">
        <x:v>6121</x:v>
      </x:c>
      <x:c r="F63" s="24" t="n">
        <x:v>6058.2</x:v>
      </x:c>
      <x:c r="G63" s="24" t="n">
        <x:v>6099.4</x:v>
      </x:c>
      <x:c r="H63" s="24"/>
      <x:c r="I63" s="25" t="n">
        <x:v>-0.0025487960292441825</x:v>
      </x:c>
      <x:c r="J63" s="24" t="n">
        <x:f>ROUND(E63-F63,1)</x:f>
        <x:v>62.8</x:v>
      </x:c>
      <x:c r="K63" s="23" t="str">
        <x:v>IC2503</x:v>
      </x:c>
    </x:row>
    <x:row r="64">
      <x:c r="A64" s="23" t="n">
        <x:v>14</x:v>
      </x:c>
      <x:c r="B64" s="23" t="str">
        <x:v>周四</x:v>
      </x:c>
      <x:c r="C64" s="23" t="str">
        <x:v>3月20日</x:v>
      </x:c>
      <x:c r="D64" s="24" t="n">
        <x:v>6091.6</x:v>
      </x:c>
      <x:c r="E64" s="24" t="n">
        <x:v>6102.6</x:v>
      </x:c>
      <x:c r="F64" s="24" t="n">
        <x:v>6045.6</x:v>
      </x:c>
      <x:c r="G64" s="24" t="n">
        <x:v>6056.6</x:v>
      </x:c>
      <x:c r="H64" s="24"/>
      <x:c r="I64" s="25" t="n">
        <x:v>-0.007733171945397133</x:v>
      </x:c>
      <x:c r="J64" s="24" t="n">
        <x:f>ROUND(E64-F64,1)</x:f>
        <x:v>57</x:v>
      </x:c>
      <x:c r="K64" s="23" t="str">
        <x:v>IC2503</x:v>
      </x:c>
    </x:row>
    <x:row r="65">
      <x:c r="A65" s="33" t="n">
        <x:v>15</x:v>
      </x:c>
      <x:c r="B65" s="33" t="str">
        <x:v>周五</x:v>
      </x:c>
      <x:c r="C65" s="33" t="str">
        <x:v>3月21日</x:v>
      </x:c>
      <x:c r="D65" s="34" t="n">
        <x:v>6041.6</x:v>
      </x:c>
      <x:c r="E65" s="34" t="n">
        <x:v>6068.6</x:v>
      </x:c>
      <x:c r="F65" s="34" t="n">
        <x:v>5965.6</x:v>
      </x:c>
      <x:c r="G65" s="34" t="n">
        <x:v>5974</x:v>
      </x:c>
      <x:c r="H65" s="34"/>
      <x:c r="I65" s="35" t="n">
        <x:v>-0.01555299539170496</x:v>
      </x:c>
      <x:c r="J65" s="34" t="n">
        <x:f>ROUND(E65-F65,1)</x:f>
        <x:v>103</x:v>
      </x:c>
      <x:c r="K65" s="33" t="str">
        <x:v>IC2503</x:v>
      </x:c>
    </x:row>
    <x:row r="66">
      <x:c r="A66" s="23" t="n">
        <x:v>16</x:v>
      </x:c>
      <x:c r="B66" s="23" t="str">
        <x:v>周一</x:v>
      </x:c>
      <x:c r="C66" s="23" t="str">
        <x:v>3月24日</x:v>
      </x:c>
      <x:c r="D66" s="24" t="n">
        <x:v>5815</x:v>
      </x:c>
      <x:c r="E66" s="24" t="n">
        <x:v>5831.6</x:v>
      </x:c>
      <x:c r="F66" s="24" t="n">
        <x:v>5739.2</x:v>
      </x:c>
      <x:c r="G66" s="24" t="n">
        <x:v>5802</x:v>
      </x:c>
      <x:c r="H66" s="24"/>
      <x:c r="I66" s="25" t="n">
        <x:v>-0.001480053694971284</x:v>
      </x:c>
      <x:c r="J66" s="24" t="n">
        <x:f>ROUND(E66-F66,1)</x:f>
        <x:v>92.4</x:v>
      </x:c>
      <x:c r="K66" s="23" t="str">
        <x:v>IC2506</x:v>
      </x:c>
    </x:row>
    <x:row r="67">
      <x:c r="A67" s="23" t="n">
        <x:v>17</x:v>
      </x:c>
      <x:c r="B67" s="23" t="str">
        <x:v>周二</x:v>
      </x:c>
      <x:c r="C67" s="23" t="str">
        <x:v>3月25日</x:v>
      </x:c>
      <x:c r="D67" s="24" t="n">
        <x:v>5795.8</x:v>
      </x:c>
      <x:c r="E67" s="24" t="n">
        <x:v>5831</x:v>
      </x:c>
      <x:c r="F67" s="24" t="n">
        <x:v>5763.4</x:v>
      </x:c>
      <x:c r="G67" s="24" t="n">
        <x:v>5794</x:v>
      </x:c>
      <x:c r="H67" s="24"/>
      <x:c r="I67" s="25" t="n">
        <x:v>-0.0013788348845226173</x:v>
      </x:c>
      <x:c r="J67" s="24" t="n">
        <x:f>ROUND(E67-F67,1)</x:f>
        <x:v>67.6</x:v>
      </x:c>
      <x:c r="K67" s="23" t="str">
        <x:v>IC2506</x:v>
      </x:c>
    </x:row>
    <x:row r="68">
      <x:c r="A68" s="23" t="n">
        <x:v>18</x:v>
      </x:c>
      <x:c r="B68" s="23" t="str">
        <x:v>周三</x:v>
      </x:c>
      <x:c r="C68" s="23" t="str">
        <x:v>3月26日</x:v>
      </x:c>
      <x:c r="D68" s="24" t="n">
        <x:v>5794.6</x:v>
      </x:c>
      <x:c r="E68" s="24" t="n">
        <x:v>5845</x:v>
      </x:c>
      <x:c r="F68" s="24" t="n">
        <x:v>5790.4</x:v>
      </x:c>
      <x:c r="G68" s="24" t="n">
        <x:v>5795</x:v>
      </x:c>
      <x:c r="H68" s="24"/>
      <x:c r="I68" s="25" t="n">
        <x:v>0.00017259233690025688</x:v>
      </x:c>
      <x:c r="J68" s="24" t="n">
        <x:f>ROUND(E68-F68,1)</x:f>
        <x:v>54.6</x:v>
      </x:c>
      <x:c r="K68" s="23" t="str">
        <x:v>IC2506</x:v>
      </x:c>
    </x:row>
    <x:row r="69">
      <x:c r="A69" s="23" t="n">
        <x:v>19</x:v>
      </x:c>
      <x:c r="B69" s="23" t="str">
        <x:v>周四</x:v>
      </x:c>
      <x:c r="C69" s="23" t="str">
        <x:v>3月27日</x:v>
      </x:c>
      <x:c r="D69" s="24" t="n">
        <x:v>5791.6</x:v>
      </x:c>
      <x:c r="E69" s="24" t="n">
        <x:v>5862.8</x:v>
      </x:c>
      <x:c r="F69" s="24" t="n">
        <x:v>5733.4</x:v>
      </x:c>
      <x:c r="G69" s="24" t="n">
        <x:v>5819</x:v>
      </x:c>
      <x:c r="H69" s="24"/>
      <x:c r="I69" s="25" t="n">
        <x:v>0.0041415012942191964</x:v>
      </x:c>
      <x:c r="J69" s="24" t="n">
        <x:f>ROUND(E69-F69,1)</x:f>
        <x:v>129.4</x:v>
      </x:c>
      <x:c r="K69" s="23" t="str">
        <x:v>IC2506</x:v>
      </x:c>
    </x:row>
    <x:row r="70">
      <x:c r="A70" s="23" t="n">
        <x:v>20</x:v>
      </x:c>
      <x:c r="B70" s="23" t="str">
        <x:v>周五</x:v>
      </x:c>
      <x:c r="C70" s="23" t="str">
        <x:v>3月28日</x:v>
      </x:c>
      <x:c r="D70" s="24" t="n">
        <x:v>5821.8</x:v>
      </x:c>
      <x:c r="E70" s="24" t="n">
        <x:v>5837.6</x:v>
      </x:c>
      <x:c r="F70" s="24" t="n">
        <x:v>5752.4</x:v>
      </x:c>
      <x:c r="G70" s="24" t="n">
        <x:v>5766.8</x:v>
      </x:c>
      <x:c r="H70" s="24"/>
      <x:c r="I70" s="25" t="n">
        <x:v>-0.008970613507475522</x:v>
      </x:c>
      <x:c r="J70" s="24" t="n">
        <x:f>ROUND(E70-F70,1)</x:f>
        <x:v>85.2</x:v>
      </x:c>
      <x:c r="K70" s="23" t="str">
        <x:v>IC2506</x:v>
      </x:c>
    </x:row>
    <x:row r="71">
      <x:c r="A71" s="23" t="n">
        <x:v>21</x:v>
      </x:c>
      <x:c r="B71" s="23" t="str">
        <x:v>周一</x:v>
      </x:c>
      <x:c r="C71" s="23" t="str">
        <x:v>3月31日</x:v>
      </x:c>
      <x:c r="D71" s="24" t="n">
        <x:v>5745.6</x:v>
      </x:c>
      <x:c r="E71" s="24" t="n">
        <x:v>5774</x:v>
      </x:c>
      <x:c r="F71" s="24" t="n">
        <x:v>5647</x:v>
      </x:c>
      <x:c r="G71" s="24" t="n">
        <x:v>5710.8</x:v>
      </x:c>
      <x:c r="H71" s="24"/>
      <x:c r="I71" s="25" t="n">
        <x:v>-0.0097107581327599</x:v>
      </x:c>
      <x:c r="J71" s="24" t="n">
        <x:f>ROUND(E71-F71,1)</x:f>
        <x:v>127</x:v>
      </x:c>
      <x:c r="K71" s="23" t="str">
        <x:v>IC2506</x:v>
      </x:c>
    </x:row>
    <x:row r="72">
      <x:c r="A72" s="38" t="str">
        <x:v>合计</x:v>
      </x:c>
      <x:c r="B72" s="37" t="n">
        <x:v>21</x:v>
      </x:c>
      <x:c r="C72" s="37"/>
      <x:c r="D72" s="37"/>
      <x:c r="E72" s="37"/>
      <x:c r="F72" s="37"/>
      <x:c r="G72" s="37"/>
      <x:c r="H72" s="37"/>
      <x:c r="I72" s="37"/>
      <x:c r="J72" s="39" t="n">
        <x:f>ROUND(SUM(J51:J71),1)</x:f>
        <x:v>1907.4</x:v>
      </x:c>
      <x:c r="K72" s="37"/>
    </x:row>
    <x:row r="73">
      <x:c r="A73" s="38" t="str">
        <x:v>均值</x:v>
      </x:c>
      <x:c r="B73" s="37"/>
      <x:c r="C73" s="37"/>
      <x:c r="D73" s="37"/>
      <x:c r="E73" s="37"/>
      <x:c r="F73" s="37"/>
      <x:c r="G73" s="37"/>
      <x:c r="H73" s="37"/>
      <x:c r="I73" s="37"/>
      <x:c r="J73" s="41" t="n">
        <x:f>ROUND(IFERROR(AVERAGE(J51:J71),0),1)</x:f>
        <x:v>90.8</x:v>
      </x:c>
      <x:c r="K73" s="37"/>
    </x:row>
    <x:row r="75">
      <x:c r="A75" s="17" t="str">
        <x:v>4月</x:v>
      </x:c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</x:row>
    <x:row r="76">
      <x:c r="A76" s="20" t="str">
        <x:v>序号</x:v>
      </x:c>
      <x:c r="B76" s="20" t="str">
        <x:v>星期</x:v>
      </x:c>
      <x:c r="C76" s="20" t="str">
        <x:v>日期</x:v>
      </x:c>
      <x:c r="D76" s="20" t="str">
        <x:v>开盘</x:v>
      </x:c>
      <x:c r="E76" s="20" t="str">
        <x:v>高点</x:v>
      </x:c>
      <x:c r="F76" s="20" t="str">
        <x:v>低点</x:v>
      </x:c>
      <x:c r="G76" s="20" t="str">
        <x:v>收盘</x:v>
      </x:c>
      <x:c r="H76" s="20" t="str">
        <x:v>涨跌点数</x:v>
      </x:c>
      <x:c r="I76" s="20" t="str">
        <x:v>涨幅</x:v>
      </x:c>
      <x:c r="J76" s="20" t="str">
        <x:v>振幅</x:v>
      </x:c>
      <x:c r="K76" s="20" t="str">
        <x:v>标的</x:v>
      </x:c>
    </x:row>
    <x:row r="77">
      <x:c r="A77" s="23" t="n">
        <x:v>1</x:v>
      </x:c>
      <x:c r="B77" s="23" t="str">
        <x:v>周二</x:v>
      </x:c>
      <x:c r="C77" s="23" t="str">
        <x:v>4月1日</x:v>
      </x:c>
      <x:c r="D77" s="24" t="n">
        <x:v>5722.8</x:v>
      </x:c>
      <x:c r="E77" s="24" t="n">
        <x:v>5784.2</x:v>
      </x:c>
      <x:c r="F77" s="24" t="n">
        <x:v>5712.2</x:v>
      </x:c>
      <x:c r="G77" s="24" t="n">
        <x:v>5738.6</x:v>
      </x:c>
      <x:c r="H77" s="24"/>
      <x:c r="I77" s="25" t="n">
        <x:v>0.0048679694613713576</x:v>
      </x:c>
      <x:c r="J77" s="24" t="n">
        <x:f>ROUND(E77-F77,1)</x:f>
        <x:v>72</x:v>
      </x:c>
      <x:c r="K77" s="23" t="str">
        <x:v>IC2506</x:v>
      </x:c>
    </x:row>
    <x:row r="78">
      <x:c r="A78" s="23" t="n">
        <x:v>2</x:v>
      </x:c>
      <x:c r="B78" s="23" t="str">
        <x:v>周三</x:v>
      </x:c>
      <x:c r="C78" s="23" t="str">
        <x:v>4月2日</x:v>
      </x:c>
      <x:c r="D78" s="24" t="n">
        <x:v>5735</x:v>
      </x:c>
      <x:c r="E78" s="24" t="n">
        <x:v>5795.6</x:v>
      </x:c>
      <x:c r="F78" s="24" t="n">
        <x:v>5732</x:v>
      </x:c>
      <x:c r="G78" s="24" t="n">
        <x:v>5759.4</x:v>
      </x:c>
      <x:c r="H78" s="24"/>
      <x:c r="I78" s="25" t="n">
        <x:v>0.0036245774230647676</x:v>
      </x:c>
      <x:c r="J78" s="24" t="n">
        <x:f>ROUND(E78-F78,1)</x:f>
        <x:v>63.6</x:v>
      </x:c>
      <x:c r="K78" s="23" t="str">
        <x:v>IC2506</x:v>
      </x:c>
    </x:row>
    <x:row r="79">
      <x:c r="A79" s="23" t="n">
        <x:v>3</x:v>
      </x:c>
      <x:c r="B79" s="23" t="str">
        <x:v>周四</x:v>
      </x:c>
      <x:c r="C79" s="23" t="str">
        <x:v>4月3日</x:v>
      </x:c>
      <x:c r="D79" s="24" t="n">
        <x:v>5710</x:v>
      </x:c>
      <x:c r="E79" s="24" t="n">
        <x:v>5777</x:v>
      </x:c>
      <x:c r="F79" s="24" t="n">
        <x:v>5680.4</x:v>
      </x:c>
      <x:c r="G79" s="24" t="n">
        <x:v>5712.2</x:v>
      </x:c>
      <x:c r="H79" s="24"/>
      <x:c r="I79" s="25" t="n">
        <x:v>-0.008195298121332018</x:v>
      </x:c>
      <x:c r="J79" s="24" t="n">
        <x:f>ROUND(E79-F79,1)</x:f>
        <x:v>96.6</x:v>
      </x:c>
      <x:c r="K79" s="23" t="str">
        <x:v>IC2506</x:v>
      </x:c>
    </x:row>
    <x:row r="80">
      <x:c r="A80" s="23" t="n">
        <x:v>4</x:v>
      </x:c>
      <x:c r="B80" s="23" t="str">
        <x:v>周一</x:v>
      </x:c>
      <x:c r="C80" s="23" t="str">
        <x:v>4月7日</x:v>
      </x:c>
      <x:c r="D80" s="24" t="n">
        <x:v>5475</x:v>
      </x:c>
      <x:c r="E80" s="24" t="n">
        <x:v>5530.4</x:v>
      </x:c>
      <x:c r="F80" s="24" t="n">
        <x:v>5139</x:v>
      </x:c>
      <x:c r="G80" s="24" t="n">
        <x:v>5139</x:v>
      </x:c>
      <x:c r="H80" s="24"/>
      <x:c r="I80" s="25" t="n">
        <x:v>-0.10034662651867932</x:v>
      </x:c>
      <x:c r="J80" s="29" t="n">
        <x:f>ROUND(E80-F80,1)</x:f>
        <x:v>391.4</x:v>
      </x:c>
      <x:c r="K80" s="23" t="str">
        <x:v>IC2506</x:v>
      </x:c>
    </x:row>
    <x:row r="81">
      <x:c r="A81" s="23" t="n">
        <x:v>5</x:v>
      </x:c>
      <x:c r="B81" s="23" t="str">
        <x:v>周二</x:v>
      </x:c>
      <x:c r="C81" s="23" t="str">
        <x:v>4月8日</x:v>
      </x:c>
      <x:c r="D81" s="24" t="n">
        <x:v>5175</x:v>
      </x:c>
      <x:c r="E81" s="24" t="n">
        <x:v>5235</x:v>
      </x:c>
      <x:c r="F81" s="24" t="n">
        <x:v>5054</x:v>
      </x:c>
      <x:c r="G81" s="24" t="n">
        <x:v>5139.4</x:v>
      </x:c>
      <x:c r="H81" s="24"/>
      <x:c r="I81" s="25" t="n">
        <x:v>0.0000778361548938733</x:v>
      </x:c>
      <x:c r="J81" s="29" t="n">
        <x:f>ROUND(E81-F81,1)</x:f>
        <x:v>181</x:v>
      </x:c>
      <x:c r="K81" s="23" t="str">
        <x:v>IC2506</x:v>
      </x:c>
    </x:row>
    <x:row r="82">
      <x:c r="A82" s="23" t="n">
        <x:v>6</x:v>
      </x:c>
      <x:c r="B82" s="23" t="str">
        <x:v>周三</x:v>
      </x:c>
      <x:c r="C82" s="23" t="str">
        <x:v>4月9日</x:v>
      </x:c>
      <x:c r="D82" s="24" t="n">
        <x:v>5050</x:v>
      </x:c>
      <x:c r="E82" s="24" t="n">
        <x:v>5306.8</x:v>
      </x:c>
      <x:c r="F82" s="24" t="n">
        <x:v>4966.2</x:v>
      </x:c>
      <x:c r="G82" s="24" t="n">
        <x:v>5262.8</x:v>
      </x:c>
      <x:c r="H82" s="24"/>
      <x:c r="I82" s="25" t="n">
        <x:v>0.0240105848931782</x:v>
      </x:c>
      <x:c r="J82" s="29" t="n">
        <x:f>ROUND(E82-F82,1)</x:f>
        <x:v>340.6</x:v>
      </x:c>
      <x:c r="K82" s="23" t="str">
        <x:v>IC2506</x:v>
      </x:c>
    </x:row>
    <x:row r="83">
      <x:c r="A83" s="23" t="n">
        <x:v>7</x:v>
      </x:c>
      <x:c r="B83" s="23" t="str">
        <x:v>周四</x:v>
      </x:c>
      <x:c r="C83" s="23" t="str">
        <x:v>4月10日</x:v>
      </x:c>
      <x:c r="D83" s="24" t="n">
        <x:v>5359.8</x:v>
      </x:c>
      <x:c r="E83" s="24" t="n">
        <x:v>5469</x:v>
      </x:c>
      <x:c r="F83" s="24" t="n">
        <x:v>5359.8</x:v>
      </x:c>
      <x:c r="G83" s="24" t="n">
        <x:v>5381.2</x:v>
      </x:c>
      <x:c r="H83" s="24"/>
      <x:c r="I83" s="25" t="n">
        <x:v>0.022497529832028462</x:v>
      </x:c>
      <x:c r="J83" s="24" t="n">
        <x:f>ROUND(E83-F83,1)</x:f>
        <x:v>109.2</x:v>
      </x:c>
      <x:c r="K83" s="23" t="str">
        <x:v>IC2506</x:v>
      </x:c>
    </x:row>
    <x:row r="84">
      <x:c r="A84" s="23" t="n">
        <x:v>8</x:v>
      </x:c>
      <x:c r="B84" s="23" t="str">
        <x:v>周五</x:v>
      </x:c>
      <x:c r="C84" s="23" t="str">
        <x:v>4月11日</x:v>
      </x:c>
      <x:c r="D84" s="24" t="n">
        <x:v>5381.2</x:v>
      </x:c>
      <x:c r="E84" s="24" t="n">
        <x:v>5488.6</x:v>
      </x:c>
      <x:c r="F84" s="24" t="n">
        <x:v>5361.8</x:v>
      </x:c>
      <x:c r="G84" s="24" t="n">
        <x:v>5424.2</x:v>
      </x:c>
      <x:c r="H84" s="24"/>
      <x:c r="I84" s="25" t="n">
        <x:v>0.007990782725042722</x:v>
      </x:c>
      <x:c r="J84" s="24" t="n">
        <x:f>ROUND(E84-F84,1)</x:f>
        <x:v>126.8</x:v>
      </x:c>
      <x:c r="K84" s="23" t="str">
        <x:v>IC2506</x:v>
      </x:c>
    </x:row>
    <x:row r="85">
      <x:c r="A85" s="23" t="n">
        <x:v>9</x:v>
      </x:c>
      <x:c r="B85" s="23" t="str">
        <x:v>周一</x:v>
      </x:c>
      <x:c r="C85" s="23" t="str">
        <x:v>4月14日</x:v>
      </x:c>
      <x:c r="D85" s="24" t="n">
        <x:v>5470</x:v>
      </x:c>
      <x:c r="E85" s="24" t="n">
        <x:v>5498</x:v>
      </x:c>
      <x:c r="F85" s="24" t="n">
        <x:v>5436</x:v>
      </x:c>
      <x:c r="G85" s="24" t="n">
        <x:v>5437.4</x:v>
      </x:c>
      <x:c r="H85" s="24"/>
      <x:c r="I85" s="25" t="n">
        <x:v>0.0024335385863352155</x:v>
      </x:c>
      <x:c r="J85" s="24" t="n">
        <x:f>ROUND(E85-F85,1)</x:f>
        <x:v>62</x:v>
      </x:c>
      <x:c r="K85" s="23" t="str">
        <x:v>IC2506</x:v>
      </x:c>
    </x:row>
    <x:row r="86">
      <x:c r="A86" s="23" t="n">
        <x:v>10</x:v>
      </x:c>
      <x:c r="B86" s="23" t="str">
        <x:v>周二</x:v>
      </x:c>
      <x:c r="C86" s="23" t="str">
        <x:v>4月15日</x:v>
      </x:c>
      <x:c r="D86" s="24" t="n">
        <x:v>5437.4</x:v>
      </x:c>
      <x:c r="E86" s="24" t="n">
        <x:v>5453.8</x:v>
      </x:c>
      <x:c r="F86" s="24" t="n">
        <x:v>5381</x:v>
      </x:c>
      <x:c r="G86" s="24" t="n">
        <x:v>5415.6</x:v>
      </x:c>
      <x:c r="H86" s="24"/>
      <x:c r="I86" s="25" t="n">
        <x:v>-0.004009269135983984</x:v>
      </x:c>
      <x:c r="J86" s="24" t="n">
        <x:f>ROUND(E86-F86,1)</x:f>
        <x:v>72.8</x:v>
      </x:c>
      <x:c r="K86" s="23" t="str">
        <x:v>IC2506</x:v>
      </x:c>
    </x:row>
    <x:row r="87">
      <x:c r="A87" s="23" t="n">
        <x:v>11</x:v>
      </x:c>
      <x:c r="B87" s="23" t="str">
        <x:v>周三</x:v>
      </x:c>
      <x:c r="C87" s="23" t="str">
        <x:v>4月16日</x:v>
      </x:c>
      <x:c r="D87" s="24" t="n">
        <x:v>5400</x:v>
      </x:c>
      <x:c r="E87" s="24" t="n">
        <x:v>5403.6</x:v>
      </x:c>
      <x:c r="F87" s="24" t="n">
        <x:v>5316.2</x:v>
      </x:c>
      <x:c r="G87" s="24" t="n">
        <x:v>5366.6</x:v>
      </x:c>
      <x:c r="H87" s="24"/>
      <x:c r="I87" s="25" t="n">
        <x:v>-0.009047935593470724</x:v>
      </x:c>
      <x:c r="J87" s="24" t="n">
        <x:f>ROUND(E87-F87,1)</x:f>
        <x:v>87.4</x:v>
      </x:c>
      <x:c r="K87" s="23" t="str">
        <x:v>IC2506</x:v>
      </x:c>
    </x:row>
    <x:row r="88">
      <x:c r="A88" s="23" t="n">
        <x:v>12</x:v>
      </x:c>
      <x:c r="B88" s="23" t="str">
        <x:v>周四</x:v>
      </x:c>
      <x:c r="C88" s="23" t="str">
        <x:v>4月17日</x:v>
      </x:c>
      <x:c r="D88" s="24" t="n">
        <x:v>5351</x:v>
      </x:c>
      <x:c r="E88" s="24" t="n">
        <x:v>5454</x:v>
      </x:c>
      <x:c r="F88" s="24" t="n">
        <x:v>5347</x:v>
      </x:c>
      <x:c r="G88" s="24" t="n">
        <x:v>5406.6</x:v>
      </x:c>
      <x:c r="H88" s="24"/>
      <x:c r="I88" s="25" t="n">
        <x:v>0.00745350873923889</x:v>
      </x:c>
      <x:c r="J88" s="24" t="n">
        <x:f>ROUND(E88-F88,1)</x:f>
        <x:v>107</x:v>
      </x:c>
      <x:c r="K88" s="23" t="str">
        <x:v>IC2506</x:v>
      </x:c>
    </x:row>
    <x:row r="89">
      <x:c r="A89" s="33" t="n">
        <x:v>13</x:v>
      </x:c>
      <x:c r="B89" s="33" t="str">
        <x:v>周五</x:v>
      </x:c>
      <x:c r="C89" s="33" t="str">
        <x:v>4月18日</x:v>
      </x:c>
      <x:c r="D89" s="34" t="n">
        <x:v>5406.6</x:v>
      </x:c>
      <x:c r="E89" s="34" t="n">
        <x:v>5446</x:v>
      </x:c>
      <x:c r="F89" s="34" t="n">
        <x:v>5366</x:v>
      </x:c>
      <x:c r="G89" s="34" t="n">
        <x:v>5400</x:v>
      </x:c>
      <x:c r="H89" s="34"/>
      <x:c r="I89" s="35" t="n">
        <x:v>-0.0012207302186217905</x:v>
      </x:c>
      <x:c r="J89" s="34" t="n">
        <x:f>ROUND(E89-F89,1)</x:f>
        <x:v>80</x:v>
      </x:c>
      <x:c r="K89" s="33" t="str">
        <x:v>IC2506</x:v>
      </x:c>
    </x:row>
    <x:row r="90">
      <x:c r="A90" s="23" t="n">
        <x:v>14</x:v>
      </x:c>
      <x:c r="B90" s="23" t="str">
        <x:v>周一</x:v>
      </x:c>
      <x:c r="C90" s="23" t="str">
        <x:v>4月21日</x:v>
      </x:c>
      <x:c r="D90" s="24" t="n">
        <x:v>5393</x:v>
      </x:c>
      <x:c r="E90" s="24" t="n">
        <x:v>5521.8</x:v>
      </x:c>
      <x:c r="F90" s="24" t="n">
        <x:v>5375.4</x:v>
      </x:c>
      <x:c r="G90" s="24" t="n">
        <x:v>5499.8</x:v>
      </x:c>
      <x:c r="H90" s="24"/>
      <x:c r="I90" s="25" t="n">
        <x:v>0.018481481481481543</x:v>
      </x:c>
      <x:c r="J90" s="24" t="n">
        <x:f>ROUND(E90-F90,1)</x:f>
        <x:v>146.4</x:v>
      </x:c>
      <x:c r="K90" s="23" t="str">
        <x:v>IC2506</x:v>
      </x:c>
    </x:row>
    <x:row r="91">
      <x:c r="A91" s="23" t="n">
        <x:v>15</x:v>
      </x:c>
      <x:c r="B91" s="23" t="str">
        <x:v>周二</x:v>
      </x:c>
      <x:c r="C91" s="23" t="str">
        <x:v>4月22日</x:v>
      </x:c>
      <x:c r="D91" s="24" t="n">
        <x:v>5497.8</x:v>
      </x:c>
      <x:c r="E91" s="24" t="n">
        <x:v>5514.6</x:v>
      </x:c>
      <x:c r="F91" s="24" t="n">
        <x:v>5467.4</x:v>
      </x:c>
      <x:c r="G91" s="24" t="n">
        <x:v>5486</x:v>
      </x:c>
      <x:c r="H91" s="24"/>
      <x:c r="I91" s="25" t="n">
        <x:v>-0.002509182152078293</x:v>
      </x:c>
      <x:c r="J91" s="24" t="n">
        <x:f>ROUND(E91-F91,1)</x:f>
        <x:v>47.2</x:v>
      </x:c>
      <x:c r="K91" s="23" t="str">
        <x:v>IC2506</x:v>
      </x:c>
    </x:row>
    <x:row r="92">
      <x:c r="A92" s="23" t="n">
        <x:v>16</x:v>
      </x:c>
      <x:c r="B92" s="23" t="str">
        <x:v>周三</x:v>
      </x:c>
      <x:c r="C92" s="23" t="str">
        <x:v>4月23日</x:v>
      </x:c>
      <x:c r="D92" s="24" t="n">
        <x:v>5530</x:v>
      </x:c>
      <x:c r="E92" s="24" t="n">
        <x:v>5564.6</x:v>
      </x:c>
      <x:c r="F92" s="24" t="n">
        <x:v>5476</x:v>
      </x:c>
      <x:c r="G92" s="24" t="n">
        <x:v>5495</x:v>
      </x:c>
      <x:c r="H92" s="24"/>
      <x:c r="I92" s="25" t="n">
        <x:v>0.0016405395552314683</x:v>
      </x:c>
      <x:c r="J92" s="24" t="n">
        <x:f>ROUND(E92-F92,1)</x:f>
        <x:v>88.6</x:v>
      </x:c>
      <x:c r="K92" s="23" t="str">
        <x:v>IC2506</x:v>
      </x:c>
    </x:row>
    <x:row r="93">
      <x:c r="A93" s="23" t="n">
        <x:v>17</x:v>
      </x:c>
      <x:c r="B93" s="23" t="str">
        <x:v>周四</x:v>
      </x:c>
      <x:c r="C93" s="23" t="str">
        <x:v>4月24日</x:v>
      </x:c>
      <x:c r="D93" s="24" t="n">
        <x:v>5495</x:v>
      </x:c>
      <x:c r="E93" s="24" t="n">
        <x:v>5515.6</x:v>
      </x:c>
      <x:c r="F93" s="24" t="n">
        <x:v>5443</x:v>
      </x:c>
      <x:c r="G93" s="24" t="n">
        <x:v>5478</x:v>
      </x:c>
      <x:c r="H93" s="24"/>
      <x:c r="I93" s="25" t="n">
        <x:v>-0.00309372156505916</x:v>
      </x:c>
      <x:c r="J93" s="24" t="n">
        <x:f>ROUND(E93-F93,1)</x:f>
        <x:v>72.6</x:v>
      </x:c>
      <x:c r="K93" s="23" t="str">
        <x:v>IC2506</x:v>
      </x:c>
    </x:row>
    <x:row r="94">
      <x:c r="A94" s="23" t="n">
        <x:v>18</x:v>
      </x:c>
      <x:c r="B94" s="23" t="str">
        <x:v>周五</x:v>
      </x:c>
      <x:c r="C94" s="23" t="str">
        <x:v>4月25日</x:v>
      </x:c>
      <x:c r="D94" s="24" t="n">
        <x:v>5491.8</x:v>
      </x:c>
      <x:c r="E94" s="24" t="n">
        <x:v>5546.2</x:v>
      </x:c>
      <x:c r="F94" s="24" t="n">
        <x:v>5467</x:v>
      </x:c>
      <x:c r="G94" s="24" t="n">
        <x:v>5498.6</x:v>
      </x:c>
      <x:c r="H94" s="24"/>
      <x:c r="I94" s="25" t="n">
        <x:v>0.003760496531580948</x:v>
      </x:c>
      <x:c r="J94" s="24" t="n">
        <x:f>ROUND(E94-F94,1)</x:f>
        <x:v>79.2</x:v>
      </x:c>
      <x:c r="K94" s="23" t="str">
        <x:v>IC2506</x:v>
      </x:c>
    </x:row>
    <x:row r="95">
      <x:c r="A95" s="23" t="n">
        <x:v>19</x:v>
      </x:c>
      <x:c r="B95" s="23" t="str">
        <x:v>周一</x:v>
      </x:c>
      <x:c r="C95" s="23" t="str">
        <x:v>4月28日</x:v>
      </x:c>
      <x:c r="D95" s="24" t="n">
        <x:v>5498</x:v>
      </x:c>
      <x:c r="E95" s="24" t="n">
        <x:v>5509</x:v>
      </x:c>
      <x:c r="F95" s="24" t="n">
        <x:v>5444.2</x:v>
      </x:c>
      <x:c r="G95" s="24" t="n">
        <x:v>5471</x:v>
      </x:c>
      <x:c r="H95" s="24"/>
      <x:c r="I95" s="25" t="n">
        <x:v>-0.0050194594987815755</x:v>
      </x:c>
      <x:c r="J95" s="24" t="n">
        <x:f>ROUND(E95-F95,1)</x:f>
        <x:v>64.8</x:v>
      </x:c>
      <x:c r="K95" s="23" t="str">
        <x:v>IC2506</x:v>
      </x:c>
    </x:row>
    <x:row r="96">
      <x:c r="A96" s="23" t="n">
        <x:v>20</x:v>
      </x:c>
      <x:c r="B96" s="23" t="str">
        <x:v>周二</x:v>
      </x:c>
      <x:c r="C96" s="23" t="str">
        <x:v>4月29日</x:v>
      </x:c>
      <x:c r="D96" s="24" t="n">
        <x:v>5460</x:v>
      </x:c>
      <x:c r="E96" s="24" t="n">
        <x:v>5505.8</x:v>
      </x:c>
      <x:c r="F96" s="24" t="n">
        <x:v>5440.8</x:v>
      </x:c>
      <x:c r="G96" s="24" t="n">
        <x:v>5487.2</x:v>
      </x:c>
      <x:c r="H96" s="24"/>
      <x:c r="I96" s="25" t="n">
        <x:v>0.0029610674465363473</x:v>
      </x:c>
      <x:c r="J96" s="24" t="n">
        <x:f>ROUND(E96-F96,1)</x:f>
        <x:v>65</x:v>
      </x:c>
      <x:c r="K96" s="23" t="str">
        <x:v>IC2506</x:v>
      </x:c>
    </x:row>
    <x:row r="97">
      <x:c r="A97" s="23" t="n">
        <x:v>21</x:v>
      </x:c>
      <x:c r="B97" s="23" t="str">
        <x:v>周三</x:v>
      </x:c>
      <x:c r="C97" s="23" t="str">
        <x:v>4月30日</x:v>
      </x:c>
      <x:c r="D97" s="24" t="n">
        <x:v>5487.2</x:v>
      </x:c>
      <x:c r="E97" s="24" t="n">
        <x:v>5531.8</x:v>
      </x:c>
      <x:c r="F97" s="24" t="n">
        <x:v>5484.8</x:v>
      </x:c>
      <x:c r="G97" s="24" t="n">
        <x:v>5497</x:v>
      </x:c>
      <x:c r="H97" s="24"/>
      <x:c r="I97" s="25" t="n">
        <x:v>0.0017859746318704683</x:v>
      </x:c>
      <x:c r="J97" s="24" t="n">
        <x:f>ROUND(E97-F97,1)</x:f>
        <x:v>47</x:v>
      </x:c>
      <x:c r="K97" s="23" t="str">
        <x:v>IC2506</x:v>
      </x:c>
    </x:row>
    <x:row r="98">
      <x:c r="A98" s="38" t="str">
        <x:v>合计</x:v>
      </x:c>
      <x:c r="B98" s="37" t="n">
        <x:v>21</x:v>
      </x:c>
      <x:c r="C98" s="37"/>
      <x:c r="D98" s="37"/>
      <x:c r="E98" s="37"/>
      <x:c r="F98" s="37"/>
      <x:c r="G98" s="37"/>
      <x:c r="H98" s="37"/>
      <x:c r="I98" s="37"/>
      <x:c r="J98" s="39" t="n">
        <x:f>ROUND(SUM(J77:J97),1)</x:f>
        <x:v>2401.2</x:v>
      </x:c>
      <x:c r="K98" s="37"/>
    </x:row>
    <x:row r="99">
      <x:c r="A99" s="38" t="str">
        <x:v>均值</x:v>
      </x:c>
      <x:c r="B99" s="37"/>
      <x:c r="C99" s="37"/>
      <x:c r="D99" s="37"/>
      <x:c r="E99" s="37"/>
      <x:c r="F99" s="37"/>
      <x:c r="G99" s="37"/>
      <x:c r="H99" s="37"/>
      <x:c r="I99" s="37"/>
      <x:c r="J99" s="41" t="n">
        <x:f>ROUND(IFERROR(AVERAGE(J77:J97),0),1)</x:f>
        <x:v>114.3</x:v>
      </x:c>
      <x:c r="K99" s="37"/>
    </x:row>
    <x:row r="101">
      <x:c r="A101" s="17" t="str">
        <x:v>5月</x:v>
      </x:c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</x:row>
    <x:row r="102">
      <x:c r="A102" s="20" t="str">
        <x:v>序号</x:v>
      </x:c>
      <x:c r="B102" s="20" t="str">
        <x:v>星期</x:v>
      </x:c>
      <x:c r="C102" s="20" t="str">
        <x:v>日期</x:v>
      </x:c>
      <x:c r="D102" s="20" t="str">
        <x:v>开盘</x:v>
      </x:c>
      <x:c r="E102" s="20" t="str">
        <x:v>高点</x:v>
      </x:c>
      <x:c r="F102" s="20" t="str">
        <x:v>低点</x:v>
      </x:c>
      <x:c r="G102" s="20" t="str">
        <x:v>收盘</x:v>
      </x:c>
      <x:c r="H102" s="20" t="str">
        <x:v>涨跌点数</x:v>
      </x:c>
      <x:c r="I102" s="20" t="str">
        <x:v>涨幅</x:v>
      </x:c>
      <x:c r="J102" s="20" t="str">
        <x:v>振幅</x:v>
      </x:c>
      <x:c r="K102" s="20" t="str">
        <x:v>标的</x:v>
      </x:c>
    </x:row>
    <x:row r="103">
      <x:c r="A103" s="23" t="n">
        <x:v>1</x:v>
      </x:c>
      <x:c r="B103" s="23" t="str">
        <x:v>周二</x:v>
      </x:c>
      <x:c r="C103" s="23" t="str">
        <x:v>5月6日</x:v>
      </x:c>
      <x:c r="D103" s="24" t="n">
        <x:v>5544</x:v>
      </x:c>
      <x:c r="E103" s="24" t="n">
        <x:v>5625.4</x:v>
      </x:c>
      <x:c r="F103" s="24" t="n">
        <x:v>5537</x:v>
      </x:c>
      <x:c r="G103" s="24" t="n">
        <x:v>5622</x:v>
      </x:c>
      <x:c r="H103" s="24"/>
      <x:c r="I103" s="25" t="n">
        <x:v>0.022739676187011115</x:v>
      </x:c>
      <x:c r="J103" s="24" t="n">
        <x:f>ROUND(E103-F103,1)</x:f>
        <x:v>88.4</x:v>
      </x:c>
      <x:c r="K103" s="23" t="str">
        <x:v>IC2506</x:v>
      </x:c>
    </x:row>
    <x:row r="104">
      <x:c r="A104" s="23" t="n">
        <x:v>2</x:v>
      </x:c>
      <x:c r="B104" s="23" t="str">
        <x:v>周三</x:v>
      </x:c>
      <x:c r="C104" s="23" t="str">
        <x:v>5月7日</x:v>
      </x:c>
      <x:c r="D104" s="24" t="n">
        <x:v>5700</x:v>
      </x:c>
      <x:c r="E104" s="24" t="n">
        <x:v>5748</x:v>
      </x:c>
      <x:c r="F104" s="24" t="n">
        <x:v>5591.4</x:v>
      </x:c>
      <x:c r="G104" s="24" t="n">
        <x:v>5620.2</x:v>
      </x:c>
      <x:c r="H104" s="24"/>
      <x:c r="I104" s="25" t="n">
        <x:v>-0.0003201707577374924</x:v>
      </x:c>
      <x:c r="J104" s="29" t="n">
        <x:f>ROUND(E104-F104,1)</x:f>
        <x:v>156.6</x:v>
      </x:c>
      <x:c r="K104" s="23" t="str">
        <x:v>IC2506</x:v>
      </x:c>
    </x:row>
    <x:row r="105">
      <x:c r="A105" s="23" t="n">
        <x:v>3</x:v>
      </x:c>
      <x:c r="B105" s="23" t="str">
        <x:v>周四</x:v>
      </x:c>
      <x:c r="C105" s="23" t="str">
        <x:v>5月8日</x:v>
      </x:c>
      <x:c r="D105" s="24" t="n">
        <x:v>5610</x:v>
      </x:c>
      <x:c r="E105" s="24" t="n">
        <x:v>5685.6</x:v>
      </x:c>
      <x:c r="F105" s="24" t="n">
        <x:v>5609.6</x:v>
      </x:c>
      <x:c r="G105" s="24" t="n">
        <x:v>5660</x:v>
      </x:c>
      <x:c r="H105" s="24"/>
      <x:c r="I105" s="25" t="n">
        <x:v>0.007081598519625754</x:v>
      </x:c>
      <x:c r="J105" s="24" t="n">
        <x:f>ROUND(E105-F105,1)</x:f>
        <x:v>76</x:v>
      </x:c>
      <x:c r="K105" s="23" t="str">
        <x:v>IC2506</x:v>
      </x:c>
    </x:row>
    <x:row r="106">
      <x:c r="A106" s="23" t="n">
        <x:v>4</x:v>
      </x:c>
      <x:c r="B106" s="23" t="str">
        <x:v>周五</x:v>
      </x:c>
      <x:c r="C106" s="23" t="str">
        <x:v>5月9日</x:v>
      </x:c>
      <x:c r="D106" s="24" t="n">
        <x:v>5656</x:v>
      </x:c>
      <x:c r="E106" s="24" t="n">
        <x:v>5658</x:v>
      </x:c>
      <x:c r="F106" s="24" t="n">
        <x:v>5583</x:v>
      </x:c>
      <x:c r="G106" s="24" t="n">
        <x:v>5604.8</x:v>
      </x:c>
      <x:c r="H106" s="24"/>
      <x:c r="I106" s="25" t="n">
        <x:v>-0.009752650176678368</x:v>
      </x:c>
      <x:c r="J106" s="24" t="n">
        <x:f>ROUND(E106-F106,1)</x:f>
        <x:v>75</x:v>
      </x:c>
      <x:c r="K106" s="23" t="str">
        <x:v>IC2506</x:v>
      </x:c>
    </x:row>
    <x:row r="107">
      <x:c r="A107" s="23" t="n">
        <x:v>5</x:v>
      </x:c>
      <x:c r="B107" s="23" t="str">
        <x:v>周一</x:v>
      </x:c>
      <x:c r="C107" s="23" t="str">
        <x:v>5月12日</x:v>
      </x:c>
      <x:c r="D107" s="24" t="n">
        <x:v>5658</x:v>
      </x:c>
      <x:c r="E107" s="24" t="n">
        <x:v>5692</x:v>
      </x:c>
      <x:c r="F107" s="24" t="n">
        <x:v>5625</x:v>
      </x:c>
      <x:c r="G107" s="24" t="n">
        <x:v>5688</x:v>
      </x:c>
      <x:c r="H107" s="24"/>
      <x:c r="I107" s="25" t="n">
        <x:v>0.014844419069369064</x:v>
      </x:c>
      <x:c r="J107" s="24" t="n">
        <x:f>ROUND(E107-F107,1)</x:f>
        <x:v>67</x:v>
      </x:c>
      <x:c r="K107" s="23" t="str">
        <x:v>IC2506</x:v>
      </x:c>
    </x:row>
    <x:row r="108">
      <x:c r="A108" s="23" t="n">
        <x:v>6</x:v>
      </x:c>
      <x:c r="B108" s="23" t="str">
        <x:v>周二</x:v>
      </x:c>
      <x:c r="C108" s="23" t="str">
        <x:v>5月13日</x:v>
      </x:c>
      <x:c r="D108" s="24" t="n">
        <x:v>5705.2</x:v>
      </x:c>
      <x:c r="E108" s="24" t="n">
        <x:v>5717.8</x:v>
      </x:c>
      <x:c r="F108" s="24" t="n">
        <x:v>5639.8</x:v>
      </x:c>
      <x:c r="G108" s="24" t="n">
        <x:v>5654.6</x:v>
      </x:c>
      <x:c r="H108" s="24"/>
      <x:c r="I108" s="25" t="n">
        <x:v>-0.005872011251758069</x:v>
      </x:c>
      <x:c r="J108" s="24" t="n">
        <x:f>ROUND(E108-F108,1)</x:f>
        <x:v>78</x:v>
      </x:c>
      <x:c r="K108" s="23" t="str">
        <x:v>IC2506</x:v>
      </x:c>
    </x:row>
    <x:row r="109">
      <x:c r="A109" s="23" t="n">
        <x:v>7</x:v>
      </x:c>
      <x:c r="B109" s="23" t="str">
        <x:v>周三</x:v>
      </x:c>
      <x:c r="C109" s="23" t="str">
        <x:v>5月14日</x:v>
      </x:c>
      <x:c r="D109" s="24" t="n">
        <x:v>5663.4</x:v>
      </x:c>
      <x:c r="E109" s="24" t="n">
        <x:v>5749.2</x:v>
      </x:c>
      <x:c r="F109" s="24" t="n">
        <x:v>5635.8</x:v>
      </x:c>
      <x:c r="G109" s="24" t="n">
        <x:v>5697.8</x:v>
      </x:c>
      <x:c r="H109" s="24"/>
      <x:c r="I109" s="25" t="n">
        <x:v>0.007639797686838978</x:v>
      </x:c>
      <x:c r="J109" s="24" t="n">
        <x:f>ROUND(E109-F109,1)</x:f>
        <x:v>113.4</x:v>
      </x:c>
      <x:c r="K109" s="23" t="str">
        <x:v>IC2506</x:v>
      </x:c>
    </x:row>
    <x:row r="110">
      <x:c r="A110" s="23" t="n">
        <x:v>8</x:v>
      </x:c>
      <x:c r="B110" s="23" t="str">
        <x:v>周四</x:v>
      </x:c>
      <x:c r="C110" s="23" t="str">
        <x:v>5月15日</x:v>
      </x:c>
      <x:c r="D110" s="24" t="n">
        <x:v>5685</x:v>
      </x:c>
      <x:c r="E110" s="24" t="n">
        <x:v>5689.8</x:v>
      </x:c>
      <x:c r="F110" s="24" t="n">
        <x:v>5602.6</x:v>
      </x:c>
      <x:c r="G110" s="24" t="n">
        <x:v>5623</x:v>
      </x:c>
      <x:c r="H110" s="24"/>
      <x:c r="I110" s="25" t="n">
        <x:v>-0.013127873916248367</x:v>
      </x:c>
      <x:c r="J110" s="24" t="n">
        <x:f>ROUND(E110-F110,1)</x:f>
        <x:v>87.2</x:v>
      </x:c>
      <x:c r="K110" s="23" t="str">
        <x:v>IC2506</x:v>
      </x:c>
    </x:row>
    <x:row r="111">
      <x:c r="A111" s="33" t="n">
        <x:v>9</x:v>
      </x:c>
      <x:c r="B111" s="33" t="str">
        <x:v>周五</x:v>
      </x:c>
      <x:c r="C111" s="33" t="str">
        <x:v>5月16日</x:v>
      </x:c>
      <x:c r="D111" s="34" t="n">
        <x:v>5615.8</x:v>
      </x:c>
      <x:c r="E111" s="34" t="n">
        <x:v>5641.6</x:v>
      </x:c>
      <x:c r="F111" s="34" t="n">
        <x:v>5601.2</x:v>
      </x:c>
      <x:c r="G111" s="34" t="n">
        <x:v>5601.8</x:v>
      </x:c>
      <x:c r="H111" s="34"/>
      <x:c r="I111" s="35" t="n">
        <x:v>-0.0037702294149030147</x:v>
      </x:c>
      <x:c r="J111" s="34" t="n">
        <x:f>ROUND(E111-F111,1)</x:f>
        <x:v>40.4</x:v>
      </x:c>
      <x:c r="K111" s="33" t="str">
        <x:v>IC2506</x:v>
      </x:c>
    </x:row>
    <x:row r="112">
      <x:c r="A112" s="23" t="n">
        <x:v>10</x:v>
      </x:c>
      <x:c r="B112" s="23" t="str">
        <x:v>周一</x:v>
      </x:c>
      <x:c r="C112" s="23" t="str">
        <x:v>5月19日</x:v>
      </x:c>
      <x:c r="D112" s="24" t="n">
        <x:v>5600</x:v>
      </x:c>
      <x:c r="E112" s="24" t="n">
        <x:v>5628</x:v>
      </x:c>
      <x:c r="F112" s="24" t="n">
        <x:v>5548.2</x:v>
      </x:c>
      <x:c r="G112" s="24" t="n">
        <x:v>5623</x:v>
      </x:c>
      <x:c r="H112" s="24"/>
      <x:c r="I112" s="25" t="n">
        <x:v>0.0037844978399799167</x:v>
      </x:c>
      <x:c r="J112" s="24" t="n">
        <x:f>ROUND(E112-F112,1)</x:f>
        <x:v>79.8</x:v>
      </x:c>
      <x:c r="K112" s="23" t="str">
        <x:v>IC2506</x:v>
      </x:c>
    </x:row>
    <x:row r="113">
      <x:c r="A113" s="23" t="n">
        <x:v>11</x:v>
      </x:c>
      <x:c r="B113" s="23" t="str">
        <x:v>周二</x:v>
      </x:c>
      <x:c r="C113" s="23" t="str">
        <x:v>5月20日</x:v>
      </x:c>
      <x:c r="D113" s="24" t="n">
        <x:v>5630.2</x:v>
      </x:c>
      <x:c r="E113" s="24" t="n">
        <x:v>5663</x:v>
      </x:c>
      <x:c r="F113" s="24" t="n">
        <x:v>5596.6</x:v>
      </x:c>
      <x:c r="G113" s="24" t="n">
        <x:v>5650.8</x:v>
      </x:c>
      <x:c r="H113" s="24"/>
      <x:c r="I113" s="25" t="n">
        <x:v>0.004943980081806965</x:v>
      </x:c>
      <x:c r="J113" s="24" t="n">
        <x:f>ROUND(E113-F113,1)</x:f>
        <x:v>66.4</x:v>
      </x:c>
      <x:c r="K113" s="23" t="str">
        <x:v>IC2506</x:v>
      </x:c>
    </x:row>
    <x:row r="114">
      <x:c r="A114" s="23" t="n">
        <x:v>12</x:v>
      </x:c>
      <x:c r="B114" s="23" t="str">
        <x:v>周三</x:v>
      </x:c>
      <x:c r="C114" s="23" t="str">
        <x:v>5月21日</x:v>
      </x:c>
      <x:c r="D114" s="24" t="n">
        <x:v>5638.2</x:v>
      </x:c>
      <x:c r="E114" s="24" t="n">
        <x:v>5665.8</x:v>
      </x:c>
      <x:c r="F114" s="24" t="n">
        <x:v>5628</x:v>
      </x:c>
      <x:c r="G114" s="24" t="n">
        <x:v>5655.6</x:v>
      </x:c>
      <x:c r="H114" s="24"/>
      <x:c r="I114" s="25" t="n">
        <x:v>0.0008494372478233814</x:v>
      </x:c>
      <x:c r="J114" s="24" t="n">
        <x:f>ROUND(E114-F114,1)</x:f>
        <x:v>37.8</x:v>
      </x:c>
      <x:c r="K114" s="23" t="str">
        <x:v>IC2506</x:v>
      </x:c>
    </x:row>
    <x:row r="115">
      <x:c r="A115" s="23" t="n">
        <x:v>13</x:v>
      </x:c>
      <x:c r="B115" s="23" t="str">
        <x:v>周四</x:v>
      </x:c>
      <x:c r="C115" s="23" t="str">
        <x:v>5月22日</x:v>
      </x:c>
      <x:c r="D115" s="24" t="n">
        <x:v>5650.4</x:v>
      </x:c>
      <x:c r="E115" s="24" t="n">
        <x:v>5686.6</x:v>
      </x:c>
      <x:c r="F115" s="24" t="n">
        <x:v>5598</x:v>
      </x:c>
      <x:c r="G115" s="24" t="n">
        <x:v>5614.8</x:v>
      </x:c>
      <x:c r="H115" s="24"/>
      <x:c r="I115" s="25" t="n">
        <x:v>-0.007214088690855158</x:v>
      </x:c>
      <x:c r="J115" s="24" t="n">
        <x:f>ROUND(E115-F115,1)</x:f>
        <x:v>88.6</x:v>
      </x:c>
      <x:c r="K115" s="23" t="str">
        <x:v>IC2506</x:v>
      </x:c>
    </x:row>
    <x:row r="116">
      <x:c r="A116" s="23" t="n">
        <x:v>14</x:v>
      </x:c>
      <x:c r="B116" s="23" t="str">
        <x:v>周五</x:v>
      </x:c>
      <x:c r="C116" s="23" t="str">
        <x:v>5月23日</x:v>
      </x:c>
      <x:c r="D116" s="24" t="n">
        <x:v>5608</x:v>
      </x:c>
      <x:c r="E116" s="24" t="n">
        <x:v>5664.8</x:v>
      </x:c>
      <x:c r="F116" s="24" t="n">
        <x:v>5557</x:v>
      </x:c>
      <x:c r="G116" s="24" t="n">
        <x:v>5561.8</x:v>
      </x:c>
      <x:c r="H116" s="24"/>
      <x:c r="I116" s="25" t="n">
        <x:v>-0.009439338890076199</x:v>
      </x:c>
      <x:c r="J116" s="24" t="n">
        <x:f>ROUND(E116-F116,1)</x:f>
        <x:v>107.8</x:v>
      </x:c>
      <x:c r="K116" s="23" t="str">
        <x:v>IC2506</x:v>
      </x:c>
    </x:row>
    <x:row r="117">
      <x:c r="A117" s="23" t="n">
        <x:v>15</x:v>
      </x:c>
      <x:c r="B117" s="23" t="str">
        <x:v>周一</x:v>
      </x:c>
      <x:c r="C117" s="23" t="str">
        <x:v>5月26日</x:v>
      </x:c>
      <x:c r="D117" s="24" t="n">
        <x:v>5561.8</x:v>
      </x:c>
      <x:c r="E117" s="24" t="n">
        <x:v>5622</x:v>
      </x:c>
      <x:c r="F117" s="24" t="n">
        <x:v>5560</x:v>
      </x:c>
      <x:c r="G117" s="24" t="n">
        <x:v>5594.6</x:v>
      </x:c>
      <x:c r="H117" s="24"/>
      <x:c r="I117" s="25" t="n">
        <x:v>0.005897371354597558</x:v>
      </x:c>
      <x:c r="J117" s="24" t="n">
        <x:f>ROUND(E117-F117,1)</x:f>
        <x:v>62</x:v>
      </x:c>
      <x:c r="K117" s="23" t="str">
        <x:v>IC2506</x:v>
      </x:c>
    </x:row>
    <x:row r="118">
      <x:c r="A118" s="23" t="n">
        <x:v>16</x:v>
      </x:c>
      <x:c r="B118" s="23" t="str">
        <x:v>周二</x:v>
      </x:c>
      <x:c r="C118" s="23" t="str">
        <x:v>5月27日</x:v>
      </x:c>
      <x:c r="D118" s="24" t="n">
        <x:v>5591.4</x:v>
      </x:c>
      <x:c r="E118" s="24" t="n">
        <x:v>5599.8</x:v>
      </x:c>
      <x:c r="F118" s="24" t="n">
        <x:v>5545.2</x:v>
      </x:c>
      <x:c r="G118" s="24" t="n">
        <x:v>5578</x:v>
      </x:c>
      <x:c r="H118" s="24"/>
      <x:c r="I118" s="25" t="n">
        <x:v>-0.0029671468916455668</x:v>
      </x:c>
      <x:c r="J118" s="24" t="n">
        <x:f>ROUND(E118-F118,1)</x:f>
        <x:v>54.6</x:v>
      </x:c>
      <x:c r="K118" s="23" t="str">
        <x:v>IC2506</x:v>
      </x:c>
    </x:row>
    <x:row r="119">
      <x:c r="A119" s="23" t="n">
        <x:v>17</x:v>
      </x:c>
      <x:c r="B119" s="23" t="str">
        <x:v>周三</x:v>
      </x:c>
      <x:c r="C119" s="23" t="str">
        <x:v>5月28日</x:v>
      </x:c>
      <x:c r="D119" s="24" t="n">
        <x:v>5587.2</x:v>
      </x:c>
      <x:c r="E119" s="24" t="n">
        <x:v>5596</x:v>
      </x:c>
      <x:c r="F119" s="24" t="n">
        <x:v>5549</x:v>
      </x:c>
      <x:c r="G119" s="24" t="n">
        <x:v>5568</x:v>
      </x:c>
      <x:c r="H119" s="24"/>
      <x:c r="I119" s="25" t="n">
        <x:v>-0.0017927572606668551</x:v>
      </x:c>
      <x:c r="J119" s="24" t="n">
        <x:f>ROUND(E119-F119,1)</x:f>
        <x:v>47</x:v>
      </x:c>
      <x:c r="K119" s="23" t="str">
        <x:v>IC2506</x:v>
      </x:c>
    </x:row>
    <x:row r="120">
      <x:c r="A120" s="23" t="n">
        <x:v>18</x:v>
      </x:c>
      <x:c r="B120" s="23" t="str">
        <x:v>周四</x:v>
      </x:c>
      <x:c r="C120" s="23" t="str">
        <x:v>5月29日</x:v>
      </x:c>
      <x:c r="D120" s="24" t="n">
        <x:v>5585</x:v>
      </x:c>
      <x:c r="E120" s="24" t="n">
        <x:v>5685.2</x:v>
      </x:c>
      <x:c r="F120" s="24" t="n">
        <x:v>5572</x:v>
      </x:c>
      <x:c r="G120" s="24" t="n">
        <x:v>5668.6</x:v>
      </x:c>
      <x:c r="H120" s="24"/>
      <x:c r="I120" s="25" t="n">
        <x:v>0.01806752873563222</x:v>
      </x:c>
      <x:c r="J120" s="24" t="n">
        <x:f>ROUND(E120-F120,1)</x:f>
        <x:v>113.2</x:v>
      </x:c>
      <x:c r="K120" s="23" t="str">
        <x:v>IC2506</x:v>
      </x:c>
    </x:row>
    <x:row r="121">
      <x:c r="A121" s="23" t="n">
        <x:v>19</x:v>
      </x:c>
      <x:c r="B121" s="23" t="str">
        <x:v>周五</x:v>
      </x:c>
      <x:c r="C121" s="23" t="str">
        <x:v>5月30日</x:v>
      </x:c>
      <x:c r="D121" s="24" t="n">
        <x:v>5641.8</x:v>
      </x:c>
      <x:c r="E121" s="24" t="n">
        <x:v>5645</x:v>
      </x:c>
      <x:c r="F121" s="24" t="n">
        <x:v>5590.2</x:v>
      </x:c>
      <x:c r="G121" s="24" t="n">
        <x:v>5627.8</x:v>
      </x:c>
      <x:c r="H121" s="24"/>
      <x:c r="I121" s="25" t="n">
        <x:v>-0.007197544367215869</x:v>
      </x:c>
      <x:c r="J121" s="24" t="n">
        <x:f>ROUND(E121-F121,1)</x:f>
        <x:v>54.8</x:v>
      </x:c>
      <x:c r="K121" s="23" t="str">
        <x:v>IC2506</x:v>
      </x:c>
    </x:row>
    <x:row r="122">
      <x:c r="A122" s="38" t="str">
        <x:v>合计</x:v>
      </x:c>
      <x:c r="B122" s="37" t="n">
        <x:v>19</x:v>
      </x:c>
      <x:c r="C122" s="37"/>
      <x:c r="D122" s="37"/>
      <x:c r="E122" s="37"/>
      <x:c r="F122" s="37"/>
      <x:c r="G122" s="37"/>
      <x:c r="H122" s="37"/>
      <x:c r="I122" s="37"/>
      <x:c r="J122" s="39" t="n">
        <x:f>ROUND(SUM(J103:J121),1)</x:f>
        <x:v>1494</x:v>
      </x:c>
      <x:c r="K122" s="37"/>
    </x:row>
    <x:row r="123">
      <x:c r="A123" s="38" t="str">
        <x:v>均值</x:v>
      </x:c>
      <x:c r="B123" s="37"/>
      <x:c r="C123" s="37"/>
      <x:c r="D123" s="37"/>
      <x:c r="E123" s="37"/>
      <x:c r="F123" s="37"/>
      <x:c r="G123" s="37"/>
      <x:c r="H123" s="37"/>
      <x:c r="I123" s="37"/>
      <x:c r="J123" s="41" t="n">
        <x:f>ROUND(IFERROR(AVERAGE(J103:J121),0),1)</x:f>
        <x:v>78.6</x:v>
      </x:c>
      <x:c r="K123" s="37"/>
    </x:row>
    <x:row r="125">
      <x:c r="A125" s="17" t="str">
        <x:v>6月</x:v>
      </x:c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</x:row>
    <x:row r="126">
      <x:c r="A126" s="20" t="str">
        <x:v>序号</x:v>
      </x:c>
      <x:c r="B126" s="20" t="str">
        <x:v>星期</x:v>
      </x:c>
      <x:c r="C126" s="20" t="str">
        <x:v>日期</x:v>
      </x:c>
      <x:c r="D126" s="20" t="str">
        <x:v>开盘</x:v>
      </x:c>
      <x:c r="E126" s="20" t="str">
        <x:v>高点</x:v>
      </x:c>
      <x:c r="F126" s="20" t="str">
        <x:v>低点</x:v>
      </x:c>
      <x:c r="G126" s="20" t="str">
        <x:v>收盘</x:v>
      </x:c>
      <x:c r="H126" s="20" t="str">
        <x:v>涨跌点数</x:v>
      </x:c>
      <x:c r="I126" s="20" t="str">
        <x:v>涨幅</x:v>
      </x:c>
      <x:c r="J126" s="20" t="str">
        <x:v>振幅</x:v>
      </x:c>
      <x:c r="K126" s="20" t="str">
        <x:v>标的</x:v>
      </x:c>
    </x:row>
    <x:row r="127">
      <x:c r="A127" s="23" t="n">
        <x:v>1</x:v>
      </x:c>
      <x:c r="B127" s="23" t="str">
        <x:v>周二</x:v>
      </x:c>
      <x:c r="C127" s="23" t="str">
        <x:v>6月3日</x:v>
      </x:c>
      <x:c r="D127" s="24" t="n">
        <x:v>5618</x:v>
      </x:c>
      <x:c r="E127" s="24" t="n">
        <x:v>5670.8</x:v>
      </x:c>
      <x:c r="F127" s="24" t="n">
        <x:v>5603.2</x:v>
      </x:c>
      <x:c r="G127" s="24" t="n">
        <x:v>5638.4</x:v>
      </x:c>
      <x:c r="H127" s="24"/>
      <x:c r="I127" s="25" t="n">
        <x:v>0.0018835068765767904</x:v>
      </x:c>
      <x:c r="J127" s="24" t="n">
        <x:f>ROUND(E127-F127,1)</x:f>
        <x:v>67.6</x:v>
      </x:c>
      <x:c r="K127" s="23" t="str">
        <x:v>IC2506</x:v>
      </x:c>
    </x:row>
    <x:row r="128">
      <x:c r="A128" s="23" t="n">
        <x:v>2</x:v>
      </x:c>
      <x:c r="B128" s="23" t="str">
        <x:v>周三</x:v>
      </x:c>
      <x:c r="C128" s="23" t="str">
        <x:v>6月4日</x:v>
      </x:c>
      <x:c r="D128" s="24" t="n">
        <x:v>5643.8</x:v>
      </x:c>
      <x:c r="E128" s="24" t="n">
        <x:v>5706</x:v>
      </x:c>
      <x:c r="F128" s="24" t="n">
        <x:v>5641.4</x:v>
      </x:c>
      <x:c r="G128" s="24" t="n">
        <x:v>5688.8</x:v>
      </x:c>
      <x:c r="H128" s="24"/>
      <x:c r="I128" s="25" t="n">
        <x:v>0.008938706015891196</x:v>
      </x:c>
      <x:c r="J128" s="24" t="n">
        <x:f>ROUND(E128-F128,1)</x:f>
        <x:v>64.6</x:v>
      </x:c>
      <x:c r="K128" s="23" t="str">
        <x:v>IC2506</x:v>
      </x:c>
    </x:row>
    <x:row r="129">
      <x:c r="A129" s="23" t="n">
        <x:v>3</x:v>
      </x:c>
      <x:c r="B129" s="23" t="str">
        <x:v>周四</x:v>
      </x:c>
      <x:c r="C129" s="23" t="str">
        <x:v>6月5日</x:v>
      </x:c>
      <x:c r="D129" s="24" t="n">
        <x:v>5690</x:v>
      </x:c>
      <x:c r="E129" s="24" t="n">
        <x:v>5741</x:v>
      </x:c>
      <x:c r="F129" s="24" t="n">
        <x:v>5671</x:v>
      </x:c>
      <x:c r="G129" s="24" t="n">
        <x:v>5723.6</x:v>
      </x:c>
      <x:c r="H129" s="24"/>
      <x:c r="I129" s="25" t="n">
        <x:v>0.006117283082548219</x:v>
      </x:c>
      <x:c r="J129" s="24" t="n">
        <x:f>ROUND(E129-F129,1)</x:f>
        <x:v>70</x:v>
      </x:c>
      <x:c r="K129" s="23" t="str">
        <x:v>IC2506</x:v>
      </x:c>
    </x:row>
    <x:row r="130">
      <x:c r="A130" s="23" t="n">
        <x:v>4</x:v>
      </x:c>
      <x:c r="B130" s="23" t="str">
        <x:v>周五</x:v>
      </x:c>
      <x:c r="C130" s="23" t="str">
        <x:v>6月6日</x:v>
      </x:c>
      <x:c r="D130" s="24" t="n">
        <x:v>5725</x:v>
      </x:c>
      <x:c r="E130" s="24" t="n">
        <x:v>5734.6</x:v>
      </x:c>
      <x:c r="F130" s="24" t="n">
        <x:v>5708</x:v>
      </x:c>
      <x:c r="G130" s="24" t="n">
        <x:v>5725.4</x:v>
      </x:c>
      <x:c r="H130" s="24"/>
      <x:c r="I130" s="25" t="n">
        <x:v>0.00031448738556139055</x:v>
      </x:c>
      <x:c r="J130" s="24" t="n">
        <x:f>ROUND(E130-F130,1)</x:f>
        <x:v>26.6</x:v>
      </x:c>
      <x:c r="K130" s="23" t="str">
        <x:v>IC2506</x:v>
      </x:c>
    </x:row>
    <x:row r="131">
      <x:c r="A131" s="23" t="n">
        <x:v>5</x:v>
      </x:c>
      <x:c r="B131" s="23" t="str">
        <x:v>周一</x:v>
      </x:c>
      <x:c r="C131" s="23" t="str">
        <x:v>6月9日</x:v>
      </x:c>
      <x:c r="D131" s="24" t="n">
        <x:v>5739.8</x:v>
      </x:c>
      <x:c r="E131" s="24" t="n">
        <x:v>5801</x:v>
      </x:c>
      <x:c r="F131" s="24" t="n">
        <x:v>5729.8</x:v>
      </x:c>
      <x:c r="G131" s="24" t="n">
        <x:v>5766.4</x:v>
      </x:c>
      <x:c r="H131" s="24"/>
      <x:c r="I131" s="25" t="n">
        <x:v>0.007161071715513279</x:v>
      </x:c>
      <x:c r="J131" s="24" t="n">
        <x:f>ROUND(E131-F131,1)</x:f>
        <x:v>71.2</x:v>
      </x:c>
      <x:c r="K131" s="23" t="str">
        <x:v>IC2506</x:v>
      </x:c>
    </x:row>
    <x:row r="132">
      <x:c r="A132" s="23" t="n">
        <x:v>6</x:v>
      </x:c>
      <x:c r="B132" s="23" t="str">
        <x:v>周二</x:v>
      </x:c>
      <x:c r="C132" s="23" t="str">
        <x:v>6月10日</x:v>
      </x:c>
      <x:c r="D132" s="24" t="n">
        <x:v>5766</x:v>
      </x:c>
      <x:c r="E132" s="24" t="n">
        <x:v>5774</x:v>
      </x:c>
      <x:c r="F132" s="24" t="n">
        <x:v>5685.6</x:v>
      </x:c>
      <x:c r="G132" s="24" t="n">
        <x:v>5718.2</x:v>
      </x:c>
      <x:c r="H132" s="24"/>
      <x:c r="I132" s="25" t="n">
        <x:v>-0.008358768035516051</x:v>
      </x:c>
      <x:c r="J132" s="24" t="n">
        <x:f>ROUND(E132-F132,1)</x:f>
        <x:v>88.4</x:v>
      </x:c>
      <x:c r="K132" s="23" t="str">
        <x:v>IC2506</x:v>
      </x:c>
    </x:row>
    <x:row r="133">
      <x:c r="A133" s="23" t="n">
        <x:v>7</x:v>
      </x:c>
      <x:c r="B133" s="23" t="str">
        <x:v>周三</x:v>
      </x:c>
      <x:c r="C133" s="23" t="str">
        <x:v>6月11日</x:v>
      </x:c>
      <x:c r="D133" s="24" t="n">
        <x:v>5729.2</x:v>
      </x:c>
      <x:c r="E133" s="24" t="n">
        <x:v>5800</x:v>
      </x:c>
      <x:c r="F133" s="24" t="n">
        <x:v>5725.2</x:v>
      </x:c>
      <x:c r="G133" s="24" t="n">
        <x:v>5761.2</x:v>
      </x:c>
      <x:c r="H133" s="24"/>
      <x:c r="I133" s="25" t="n">
        <x:v>0.007519848903501103</x:v>
      </x:c>
      <x:c r="J133" s="24" t="n">
        <x:f>ROUND(E133-F133,1)</x:f>
        <x:v>74.8</x:v>
      </x:c>
      <x:c r="K133" s="23" t="str">
        <x:v>IC2506</x:v>
      </x:c>
    </x:row>
    <x:row r="134">
      <x:c r="A134" s="23" t="n">
        <x:v>8</x:v>
      </x:c>
      <x:c r="B134" s="23" t="str">
        <x:v>周四</x:v>
      </x:c>
      <x:c r="C134" s="23" t="str">
        <x:v>6月12日</x:v>
      </x:c>
      <x:c r="D134" s="24" t="n">
        <x:v>5752.8</x:v>
      </x:c>
      <x:c r="E134" s="24" t="n">
        <x:v>5787.6</x:v>
      </x:c>
      <x:c r="F134" s="24" t="n">
        <x:v>5731.4</x:v>
      </x:c>
      <x:c r="G134" s="24" t="n">
        <x:v>5780</x:v>
      </x:c>
      <x:c r="H134" s="24"/>
      <x:c r="I134" s="25" t="n">
        <x:v>0.0032632090536695024</x:v>
      </x:c>
      <x:c r="J134" s="24" t="n">
        <x:f>ROUND(E134-F134,1)</x:f>
        <x:v>56.2</x:v>
      </x:c>
      <x:c r="K134" s="23" t="str">
        <x:v>IC2506</x:v>
      </x:c>
    </x:row>
    <x:row r="135">
      <x:c r="A135" s="23" t="n">
        <x:v>9</x:v>
      </x:c>
      <x:c r="B135" s="23" t="str">
        <x:v>周五</x:v>
      </x:c>
      <x:c r="C135" s="23" t="str">
        <x:v>6月13日</x:v>
      </x:c>
      <x:c r="D135" s="24" t="n">
        <x:v>5770</x:v>
      </x:c>
      <x:c r="E135" s="24" t="n">
        <x:v>5774</x:v>
      </x:c>
      <x:c r="F135" s="24" t="n">
        <x:v>5705</x:v>
      </x:c>
      <x:c r="G135" s="24" t="n">
        <x:v>5729</x:v>
      </x:c>
      <x:c r="H135" s="24"/>
      <x:c r="I135" s="25" t="n">
        <x:v>-0.008823529411764675</x:v>
      </x:c>
      <x:c r="J135" s="24" t="n">
        <x:f>ROUND(E135-F135,1)</x:f>
        <x:v>69</x:v>
      </x:c>
      <x:c r="K135" s="23" t="str">
        <x:v>IC2506</x:v>
      </x:c>
    </x:row>
    <x:row r="136">
      <x:c r="A136" s="23" t="n">
        <x:v>10</x:v>
      </x:c>
      <x:c r="B136" s="23" t="str">
        <x:v>周一</x:v>
      </x:c>
      <x:c r="C136" s="23" t="str">
        <x:v>6月16日</x:v>
      </x:c>
      <x:c r="D136" s="24" t="n">
        <x:v>5724</x:v>
      </x:c>
      <x:c r="E136" s="24" t="n">
        <x:v>5773.4</x:v>
      </x:c>
      <x:c r="F136" s="24" t="n">
        <x:v>5718.4</x:v>
      </x:c>
      <x:c r="G136" s="24" t="n">
        <x:v>5756.2</x:v>
      </x:c>
      <x:c r="H136" s="24"/>
      <x:c r="I136" s="25" t="n">
        <x:v>0.004747774480712064</x:v>
      </x:c>
      <x:c r="J136" s="24" t="n">
        <x:f>ROUND(E136-F136,1)</x:f>
        <x:v>55</x:v>
      </x:c>
      <x:c r="K136" s="23" t="str">
        <x:v>IC2506</x:v>
      </x:c>
    </x:row>
    <x:row r="137">
      <x:c r="A137" s="23" t="n">
        <x:v>11</x:v>
      </x:c>
      <x:c r="B137" s="23" t="str">
        <x:v>周二</x:v>
      </x:c>
      <x:c r="C137" s="23" t="str">
        <x:v>6月17日</x:v>
      </x:c>
      <x:c r="D137" s="24" t="n">
        <x:v>5756.2</x:v>
      </x:c>
      <x:c r="E137" s="24" t="n">
        <x:v>5768.8</x:v>
      </x:c>
      <x:c r="F137" s="24" t="n">
        <x:v>5726.4</x:v>
      </x:c>
      <x:c r="G137" s="24" t="n">
        <x:v>5748.4</x:v>
      </x:c>
      <x:c r="H137" s="24"/>
      <x:c r="I137" s="25" t="n">
        <x:v>-0.031409610506931696</x:v>
      </x:c>
      <x:c r="J137" s="24" t="n">
        <x:f>ROUND(E137-F137,1)</x:f>
        <x:v>42.4</x:v>
      </x:c>
      <x:c r="K137" s="23" t="str">
        <x:v>IC2506</x:v>
      </x:c>
    </x:row>
    <x:row r="138">
      <x:c r="A138" s="23" t="n">
        <x:v>12</x:v>
      </x:c>
      <x:c r="B138" s="23" t="str">
        <x:v>周三</x:v>
      </x:c>
      <x:c r="C138" s="23" t="str">
        <x:v>6月18日</x:v>
      </x:c>
      <x:c r="D138" s="24" t="n">
        <x:v>5742</x:v>
      </x:c>
      <x:c r="E138" s="24" t="n">
        <x:v>5755</x:v>
      </x:c>
      <x:c r="F138" s="24" t="n">
        <x:v>5700</x:v>
      </x:c>
      <x:c r="G138" s="24" t="n">
        <x:v>5738</x:v>
      </x:c>
      <x:c r="H138" s="24"/>
      <x:c r="I138" s="25" t="n">
        <x:v>-0.002152311941744145</x:v>
      </x:c>
      <x:c r="J138" s="24" t="n">
        <x:f>ROUND(E138-F138,1)</x:f>
        <x:v>55</x:v>
      </x:c>
      <x:c r="K138" s="23" t="str">
        <x:v>IC2506</x:v>
      </x:c>
    </x:row>
    <x:row r="139">
      <x:c r="A139" s="23" t="n">
        <x:v>13</x:v>
      </x:c>
      <x:c r="B139" s="23" t="str">
        <x:v>周四</x:v>
      </x:c>
      <x:c r="C139" s="23" t="str">
        <x:v>6月19日</x:v>
      </x:c>
      <x:c r="D139" s="24" t="n">
        <x:v>5729.2</x:v>
      </x:c>
      <x:c r="E139" s="24" t="n">
        <x:v>5745</x:v>
      </x:c>
      <x:c r="F139" s="24" t="n">
        <x:v>5655</x:v>
      </x:c>
      <x:c r="G139" s="24" t="n">
        <x:v>5677.8</x:v>
      </x:c>
      <x:c r="H139" s="24"/>
      <x:c r="I139" s="25" t="n">
        <x:v>-0.010605025703706361</x:v>
      </x:c>
      <x:c r="J139" s="24" t="n">
        <x:f>ROUND(E139-F139,1)</x:f>
        <x:v>90</x:v>
      </x:c>
      <x:c r="K139" s="23" t="str">
        <x:v>IC2506</x:v>
      </x:c>
    </x:row>
    <x:row r="140">
      <x:c r="A140" s="33" t="n">
        <x:v>14</x:v>
      </x:c>
      <x:c r="B140" s="33" t="str">
        <x:v>周五</x:v>
      </x:c>
      <x:c r="C140" s="33" t="str">
        <x:v>6月20日</x:v>
      </x:c>
      <x:c r="D140" s="34" t="n">
        <x:v>5681.8</x:v>
      </x:c>
      <x:c r="E140" s="34" t="n">
        <x:v>5698.2</x:v>
      </x:c>
      <x:c r="F140" s="34" t="n">
        <x:v>5645.4</x:v>
      </x:c>
      <x:c r="G140" s="34" t="n">
        <x:v>5647.8</x:v>
      </x:c>
      <x:c r="H140" s="34"/>
      <x:c r="I140" s="35" t="n">
        <x:v>-0.0037061260082842384</x:v>
      </x:c>
      <x:c r="J140" s="34" t="n">
        <x:f>ROUND(E140-F140,1)</x:f>
        <x:v>52.8</x:v>
      </x:c>
      <x:c r="K140" s="33" t="str">
        <x:v>IC2506</x:v>
      </x:c>
    </x:row>
    <x:row r="141">
      <x:c r="A141" s="23" t="n">
        <x:v>15</x:v>
      </x:c>
      <x:c r="B141" s="23" t="str">
        <x:v>周一</x:v>
      </x:c>
      <x:c r="C141" s="23" t="str">
        <x:v>6月23日</x:v>
      </x:c>
      <x:c r="D141" s="24" t="n">
        <x:v>5458.8</x:v>
      </x:c>
      <x:c r="E141" s="24" t="n">
        <x:v>5541</x:v>
      </x:c>
      <x:c r="F141" s="24" t="n">
        <x:v>5457.2</x:v>
      </x:c>
      <x:c r="G141" s="24" t="n">
        <x:v>5524</x:v>
      </x:c>
      <x:c r="H141" s="24"/>
      <x:c r="I141" s="25" t="n">
        <x:v>0.00729394602479938</x:v>
      </x:c>
      <x:c r="J141" s="24" t="n">
        <x:f>ROUND(E141-F141,1)</x:f>
        <x:v>83.8</x:v>
      </x:c>
      <x:c r="K141" s="23" t="str">
        <x:v>IC2509</x:v>
      </x:c>
    </x:row>
    <x:row r="142">
      <x:c r="A142" s="23" t="n">
        <x:v>16</x:v>
      </x:c>
      <x:c r="B142" s="23" t="str">
        <x:v>周二</x:v>
      </x:c>
      <x:c r="C142" s="23" t="str">
        <x:v>6月24日</x:v>
      </x:c>
      <x:c r="D142" s="24" t="n">
        <x:v>5537.4</x:v>
      </x:c>
      <x:c r="E142" s="24" t="n">
        <x:v>5650.4</x:v>
      </x:c>
      <x:c r="F142" s="24" t="n">
        <x:v>5536</x:v>
      </x:c>
      <x:c r="G142" s="24" t="n">
        <x:v>5632.6</x:v>
      </x:c>
      <x:c r="H142" s="24"/>
      <x:c r="I142" s="25" t="n">
        <x:v>0.019659666908037776</x:v>
      </x:c>
      <x:c r="J142" s="24" t="n">
        <x:f>ROUND(E142-F142,1)</x:f>
        <x:v>114.4</x:v>
      </x:c>
      <x:c r="K142" s="23" t="str">
        <x:v>IC2509</x:v>
      </x:c>
    </x:row>
    <x:row r="143">
      <x:c r="A143" s="23" t="n">
        <x:v>17</x:v>
      </x:c>
      <x:c r="B143" s="23" t="str">
        <x:v>周三</x:v>
      </x:c>
      <x:c r="C143" s="23" t="str">
        <x:v>6月25日</x:v>
      </x:c>
      <x:c r="D143" s="24" t="n">
        <x:v>5634</x:v>
      </x:c>
      <x:c r="E143" s="24" t="n">
        <x:v>5770.8</x:v>
      </x:c>
      <x:c r="F143" s="24" t="n">
        <x:v>5634</x:v>
      </x:c>
      <x:c r="G143" s="24" t="n">
        <x:v>5759.8</x:v>
      </x:c>
      <x:c r="H143" s="24"/>
      <x:c r="I143" s="25" t="n">
        <x:v>0.022582821432375777</x:v>
      </x:c>
      <x:c r="J143" s="24" t="n">
        <x:f>ROUND(E143-F143,1)</x:f>
        <x:v>136.8</x:v>
      </x:c>
      <x:c r="K143" s="23" t="str">
        <x:v>IC2509</x:v>
      </x:c>
    </x:row>
    <x:row r="144">
      <x:c r="A144" s="23" t="n">
        <x:v>18</x:v>
      </x:c>
      <x:c r="B144" s="23" t="str">
        <x:v>周四</x:v>
      </x:c>
      <x:c r="C144" s="23" t="str">
        <x:v>6月26日</x:v>
      </x:c>
      <x:c r="D144" s="24" t="n">
        <x:v>5749.8</x:v>
      </x:c>
      <x:c r="E144" s="24" t="n">
        <x:v>5763.2</x:v>
      </x:c>
      <x:c r="F144" s="24" t="n">
        <x:v>5722.8</x:v>
      </x:c>
      <x:c r="G144" s="24" t="n">
        <x:v>5729</x:v>
      </x:c>
      <x:c r="H144" s="24"/>
      <x:c r="I144" s="25" t="n">
        <x:v>-0.005347407896107548</x:v>
      </x:c>
      <x:c r="J144" s="24" t="n">
        <x:f>ROUND(E144-F144,1)</x:f>
        <x:v>40.4</x:v>
      </x:c>
      <x:c r="K144" s="23" t="str">
        <x:v>IC2509</x:v>
      </x:c>
    </x:row>
    <x:row r="145">
      <x:c r="A145" s="23" t="n">
        <x:v>19</x:v>
      </x:c>
      <x:c r="B145" s="23" t="str">
        <x:v>周五</x:v>
      </x:c>
      <x:c r="C145" s="23" t="str">
        <x:v>6月27日</x:v>
      </x:c>
      <x:c r="D145" s="24" t="n">
        <x:v>5748</x:v>
      </x:c>
      <x:c r="E145" s="24" t="n">
        <x:v>5801</x:v>
      </x:c>
      <x:c r="F145" s="24" t="n">
        <x:v>5724</x:v>
      </x:c>
      <x:c r="G145" s="24" t="n">
        <x:v>5745</x:v>
      </x:c>
      <x:c r="H145" s="24"/>
      <x:c r="I145" s="25" t="n">
        <x:v>0.002792808518065959</x:v>
      </x:c>
      <x:c r="J145" s="24" t="n">
        <x:f>ROUND(E145-F145,1)</x:f>
        <x:v>77</x:v>
      </x:c>
      <x:c r="K145" s="23" t="str">
        <x:v>IC2509</x:v>
      </x:c>
    </x:row>
    <x:row r="146">
      <x:c r="A146" s="23" t="n">
        <x:v>20</x:v>
      </x:c>
      <x:c r="B146" s="23" t="str">
        <x:v>周一</x:v>
      </x:c>
      <x:c r="C146" s="23" t="str">
        <x:v>6月30日</x:v>
      </x:c>
      <x:c r="D146" s="24" t="n">
        <x:v>5766</x:v>
      </x:c>
      <x:c r="E146" s="24" t="n">
        <x:v>5788.6</x:v>
      </x:c>
      <x:c r="F146" s="24" t="n">
        <x:v>5748</x:v>
      </x:c>
      <x:c r="G146" s="24" t="n">
        <x:v>5768.8</x:v>
      </x:c>
      <x:c r="H146" s="24"/>
      <x:c r="I146" s="25" t="n">
        <x:v>0.004142732811140082</x:v>
      </x:c>
      <x:c r="J146" s="24" t="n">
        <x:f>ROUND(E146-F146,1)</x:f>
        <x:v>40.6</x:v>
      </x:c>
      <x:c r="K146" s="23" t="str">
        <x:v>IC2509</x:v>
      </x:c>
    </x:row>
    <x:row r="147">
      <x:c r="A147" s="38" t="str">
        <x:v>合计</x:v>
      </x:c>
      <x:c r="B147" s="37" t="n">
        <x:v>20</x:v>
      </x:c>
      <x:c r="C147" s="37"/>
      <x:c r="D147" s="37"/>
      <x:c r="E147" s="37"/>
      <x:c r="F147" s="37"/>
      <x:c r="G147" s="37"/>
      <x:c r="H147" s="37"/>
      <x:c r="I147" s="37"/>
      <x:c r="J147" s="39" t="n">
        <x:f>ROUND(SUM(J127:J146),1)</x:f>
        <x:v>1376.6</x:v>
      </x:c>
      <x:c r="K147" s="37"/>
    </x:row>
    <x:row r="148">
      <x:c r="A148" s="38" t="str">
        <x:v>均值</x:v>
      </x:c>
      <x:c r="B148" s="37"/>
      <x:c r="C148" s="37"/>
      <x:c r="D148" s="37"/>
      <x:c r="E148" s="37"/>
      <x:c r="F148" s="37"/>
      <x:c r="G148" s="37"/>
      <x:c r="H148" s="37"/>
      <x:c r="I148" s="37"/>
      <x:c r="J148" s="41" t="n">
        <x:f>ROUND(IFERROR(AVERAGE(J127:J146),0),1)</x:f>
        <x:v>68.8</x:v>
      </x:c>
      <x:c r="K148" s="37"/>
    </x:row>
    <x:row r="150">
      <x:c r="A150" s="17" t="str">
        <x:v>7月</x:v>
      </x:c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</x:row>
    <x:row r="151">
      <x:c r="A151" s="20" t="str">
        <x:v>序号</x:v>
      </x:c>
      <x:c r="B151" s="20" t="str">
        <x:v>星期</x:v>
      </x:c>
      <x:c r="C151" s="20" t="str">
        <x:v>日期</x:v>
      </x:c>
      <x:c r="D151" s="20" t="str">
        <x:v>开盘</x:v>
      </x:c>
      <x:c r="E151" s="20" t="str">
        <x:v>高点</x:v>
      </x:c>
      <x:c r="F151" s="20" t="str">
        <x:v>低点</x:v>
      </x:c>
      <x:c r="G151" s="20" t="str">
        <x:v>收盘</x:v>
      </x:c>
      <x:c r="H151" s="20" t="str">
        <x:v>涨跌点数</x:v>
      </x:c>
      <x:c r="I151" s="20" t="str">
        <x:v>涨幅</x:v>
      </x:c>
      <x:c r="J151" s="20" t="str">
        <x:v>振幅</x:v>
      </x:c>
      <x:c r="K151" s="20" t="str">
        <x:v>标的</x:v>
      </x:c>
    </x:row>
    <x:row r="152">
      <x:c r="A152" s="23" t="n">
        <x:v>1</x:v>
      </x:c>
      <x:c r="B152" s="23" t="str">
        <x:v>周二</x:v>
      </x:c>
      <x:c r="C152" s="23" t="str">
        <x:v>7月1日</x:v>
      </x:c>
      <x:c r="D152" s="24" t="n">
        <x:v>5759</x:v>
      </x:c>
      <x:c r="E152" s="24" t="n">
        <x:v>5781.2</x:v>
      </x:c>
      <x:c r="F152" s="24" t="n">
        <x:v>5722</x:v>
      </x:c>
      <x:c r="G152" s="24" t="n">
        <x:v>5764.6</x:v>
      </x:c>
      <x:c r="H152" s="24"/>
      <x:c r="I152" s="25" t="n">
        <x:v>-0.0007280543613923385</x:v>
      </x:c>
      <x:c r="J152" s="24" t="n">
        <x:f>ROUND(E152-F152,1)</x:f>
        <x:v>59.2</x:v>
      </x:c>
      <x:c r="K152" s="23" t="str">
        <x:v>IC2509</x:v>
      </x:c>
    </x:row>
    <x:row r="153">
      <x:c r="A153" s="23" t="n">
        <x:v>2</x:v>
      </x:c>
      <x:c r="B153" s="23" t="str">
        <x:v>周三</x:v>
      </x:c>
      <x:c r="C153" s="23" t="str">
        <x:v>7月2日</x:v>
      </x:c>
      <x:c r="D153" s="24" t="n">
        <x:v>5748</x:v>
      </x:c>
      <x:c r="E153" s="24" t="n">
        <x:v>5763.6</x:v>
      </x:c>
      <x:c r="F153" s="24" t="n">
        <x:v>5724.6</x:v>
      </x:c>
      <x:c r="G153" s="24" t="n">
        <x:v>5756.6</x:v>
      </x:c>
      <x:c r="H153" s="24"/>
      <x:c r="I153" s="25" t="n">
        <x:v>-0.0013877805918883768</x:v>
      </x:c>
      <x:c r="J153" s="24" t="n">
        <x:f>ROUND(E153-F153,1)</x:f>
        <x:v>39</x:v>
      </x:c>
      <x:c r="K153" s="23" t="str">
        <x:v>IC2509</x:v>
      </x:c>
    </x:row>
    <x:row r="154">
      <x:c r="A154" s="23" t="n">
        <x:v>3</x:v>
      </x:c>
      <x:c r="B154" s="23" t="str">
        <x:v>周四</x:v>
      </x:c>
      <x:c r="C154" s="23" t="str">
        <x:v>7月3日</x:v>
      </x:c>
      <x:c r="D154" s="24" t="n">
        <x:v>5769.6</x:v>
      </x:c>
      <x:c r="E154" s="24" t="n">
        <x:v>5787.8</x:v>
      </x:c>
      <x:c r="F154" s="24" t="n">
        <x:v>5735</x:v>
      </x:c>
      <x:c r="G154" s="24" t="n">
        <x:v>5769.2</x:v>
      </x:c>
      <x:c r="H154" s="24"/>
      <x:c r="I154" s="25" t="n">
        <x:v>0.002188791995274997</x:v>
      </x:c>
      <x:c r="J154" s="24" t="n">
        <x:f>ROUND(E154-F154,1)</x:f>
        <x:v>52.8</x:v>
      </x:c>
      <x:c r="K154" s="23" t="str">
        <x:v>IC2509</x:v>
      </x:c>
    </x:row>
    <x:row r="155">
      <x:c r="A155" s="23" t="n">
        <x:v>4</x:v>
      </x:c>
      <x:c r="B155" s="23" t="str">
        <x:v>周五</x:v>
      </x:c>
      <x:c r="C155" s="23" t="str">
        <x:v>7月4日</x:v>
      </x:c>
      <x:c r="D155" s="24" t="n">
        <x:v>5761.8</x:v>
      </x:c>
      <x:c r="E155" s="24" t="n">
        <x:v>5836</x:v>
      </x:c>
      <x:c r="F155" s="24" t="n">
        <x:v>5726</x:v>
      </x:c>
      <x:c r="G155" s="24" t="n">
        <x:v>5765.4</x:v>
      </x:c>
      <x:c r="H155" s="24"/>
      <x:c r="I155" s="25" t="n">
        <x:v>-0.0006586701795743277</x:v>
      </x:c>
      <x:c r="J155" s="24" t="n">
        <x:f>ROUND(E155-F155,1)</x:f>
        <x:v>110</x:v>
      </x:c>
      <x:c r="K155" s="23" t="str">
        <x:v>IC2509</x:v>
      </x:c>
    </x:row>
    <x:row r="156">
      <x:c r="A156" s="23" t="n">
        <x:v>5</x:v>
      </x:c>
      <x:c r="B156" s="23" t="str">
        <x:v>周一</x:v>
      </x:c>
      <x:c r="C156" s="23" t="str">
        <x:v>7月7日</x:v>
      </x:c>
      <x:c r="D156" s="24" t="n">
        <x:v>5757</x:v>
      </x:c>
      <x:c r="E156" s="24" t="n">
        <x:v>5775</x:v>
      </x:c>
      <x:c r="F156" s="24" t="n">
        <x:v>5735</x:v>
      </x:c>
      <x:c r="G156" s="24" t="n">
        <x:v>5747.6</x:v>
      </x:c>
      <x:c r="H156" s="24"/>
      <x:c r="I156" s="25" t="n">
        <x:v>-0.0030873833558815456</x:v>
      </x:c>
      <x:c r="J156" s="24" t="n">
        <x:f>ROUND(E156-F156,1)</x:f>
        <x:v>40</x:v>
      </x:c>
      <x:c r="K156" s="23" t="str">
        <x:v>IC2509</x:v>
      </x:c>
    </x:row>
    <x:row r="157">
      <x:c r="A157" s="23" t="n">
        <x:v>6</x:v>
      </x:c>
      <x:c r="B157" s="23" t="str">
        <x:v>周二</x:v>
      </x:c>
      <x:c r="C157" s="23" t="str">
        <x:v>7月8日</x:v>
      </x:c>
      <x:c r="D157" s="24" t="n">
        <x:v>5743.2</x:v>
      </x:c>
      <x:c r="E157" s="24" t="n">
        <x:v>5859.8</x:v>
      </x:c>
      <x:c r="F157" s="24" t="n">
        <x:v>5743.2</x:v>
      </x:c>
      <x:c r="G157" s="24" t="n">
        <x:v>5858</x:v>
      </x:c>
      <x:c r="H157" s="24"/>
      <x:c r="I157" s="25" t="n">
        <x:v>0.01920801725937782</x:v>
      </x:c>
      <x:c r="J157" s="24" t="n">
        <x:f>ROUND(E157-F157,1)</x:f>
        <x:v>116.6</x:v>
      </x:c>
      <x:c r="K157" s="23" t="str">
        <x:v>IC2509</x:v>
      </x:c>
    </x:row>
    <x:row r="158">
      <x:c r="A158" s="23" t="n">
        <x:v>7</x:v>
      </x:c>
      <x:c r="B158" s="23" t="str">
        <x:v>周三</x:v>
      </x:c>
      <x:c r="C158" s="23" t="str">
        <x:v>7月9日</x:v>
      </x:c>
      <x:c r="D158" s="24" t="n">
        <x:v>5850</x:v>
      </x:c>
      <x:c r="E158" s="24" t="n">
        <x:v>5858</x:v>
      </x:c>
      <x:c r="F158" s="24" t="n">
        <x:v>5818</x:v>
      </x:c>
      <x:c r="G158" s="24" t="n">
        <x:v>5823.4</x:v>
      </x:c>
      <x:c r="H158" s="24"/>
      <x:c r="I158" s="25" t="n">
        <x:v>-0.005906452714236954</x:v>
      </x:c>
      <x:c r="J158" s="24" t="n">
        <x:f>ROUND(E158-F158,1)</x:f>
        <x:v>40</x:v>
      </x:c>
      <x:c r="K158" s="23" t="str">
        <x:v>IC2509</x:v>
      </x:c>
    </x:row>
    <x:row r="159">
      <x:c r="A159" s="23" t="n">
        <x:v>8</x:v>
      </x:c>
      <x:c r="B159" s="23" t="str">
        <x:v>周四</x:v>
      </x:c>
      <x:c r="C159" s="23" t="str">
        <x:v>7月10日</x:v>
      </x:c>
      <x:c r="D159" s="24" t="n">
        <x:v>5831</x:v>
      </x:c>
      <x:c r="E159" s="24" t="n">
        <x:v>5880.4</x:v>
      </x:c>
      <x:c r="F159" s="24" t="n">
        <x:v>5813.6</x:v>
      </x:c>
      <x:c r="G159" s="24" t="n">
        <x:v>5854.2</x:v>
      </x:c>
      <x:c r="H159" s="24"/>
      <x:c r="I159" s="25" t="n">
        <x:v>0.005289006422364961</x:v>
      </x:c>
      <x:c r="J159" s="24" t="n">
        <x:f>ROUND(E159-F159,1)</x:f>
        <x:v>66.8</x:v>
      </x:c>
      <x:c r="K159" s="23" t="str">
        <x:v>IC2509</x:v>
      </x:c>
    </x:row>
    <x:row r="160">
      <x:c r="A160" s="23" t="n">
        <x:v>9</x:v>
      </x:c>
      <x:c r="B160" s="23" t="str">
        <x:v>周五</x:v>
      </x:c>
      <x:c r="C160" s="23" t="str">
        <x:v>7月11日</x:v>
      </x:c>
      <x:c r="D160" s="24" t="n">
        <x:v>5849</x:v>
      </x:c>
      <x:c r="E160" s="24" t="n">
        <x:v>5964.8</x:v>
      </x:c>
      <x:c r="F160" s="24" t="n">
        <x:v>5829</x:v>
      </x:c>
      <x:c r="G160" s="24" t="n">
        <x:v>5920.4</x:v>
      </x:c>
      <x:c r="H160" s="24"/>
      <x:c r="I160" s="25" t="n">
        <x:v>0.011308120665505017</x:v>
      </x:c>
      <x:c r="J160" s="24" t="n">
        <x:f>ROUND(E160-F160,1)</x:f>
        <x:v>135.8</x:v>
      </x:c>
      <x:c r="K160" s="23" t="str">
        <x:v>IC2509</x:v>
      </x:c>
    </x:row>
    <x:row r="161">
      <x:c r="A161" s="23" t="n">
        <x:v>10</x:v>
      </x:c>
      <x:c r="B161" s="23" t="str">
        <x:v>周一</x:v>
      </x:c>
      <x:c r="C161" s="23" t="str">
        <x:v>7月14日</x:v>
      </x:c>
      <x:c r="D161" s="24" t="n">
        <x:v>5916.4</x:v>
      </x:c>
      <x:c r="E161" s="24" t="n">
        <x:v>5928</x:v>
      </x:c>
      <x:c r="F161" s="24" t="n">
        <x:v>5895.8</x:v>
      </x:c>
      <x:c r="G161" s="24" t="n">
        <x:v>5897.6</x:v>
      </x:c>
      <x:c r="H161" s="24"/>
      <x:c r="I161" s="25" t="n">
        <x:v>-0.0038510911424902705</x:v>
      </x:c>
      <x:c r="J161" s="24" t="n">
        <x:f>ROUND(E161-F161,1)</x:f>
        <x:v>32.2</x:v>
      </x:c>
      <x:c r="K161" s="23" t="str">
        <x:v>IC2509</x:v>
      </x:c>
    </x:row>
    <x:row r="162">
      <x:c r="A162" s="23" t="n">
        <x:v>11</x:v>
      </x:c>
      <x:c r="B162" s="23" t="str">
        <x:v>周二</x:v>
      </x:c>
      <x:c r="C162" s="23" t="str">
        <x:v>7月15日</x:v>
      </x:c>
      <x:c r="D162" s="24" t="n">
        <x:v>5900.4</x:v>
      </x:c>
      <x:c r="E162" s="24" t="n">
        <x:v>5942</x:v>
      </x:c>
      <x:c r="F162" s="24" t="n">
        <x:v>5847.8</x:v>
      </x:c>
      <x:c r="G162" s="24" t="n">
        <x:v>5893.4</x:v>
      </x:c>
      <x:c r="H162" s="24"/>
      <x:c r="I162" s="25" t="n">
        <x:v>-0.000712154096581763</x:v>
      </x:c>
      <x:c r="J162" s="24" t="n">
        <x:f>ROUND(E162-F162,1)</x:f>
        <x:v>94.2</x:v>
      </x:c>
      <x:c r="K162" s="23" t="str">
        <x:v>IC2509</x:v>
      </x:c>
    </x:row>
    <x:row r="163">
      <x:c r="A163" s="23" t="n">
        <x:v>12</x:v>
      </x:c>
      <x:c r="B163" s="23" t="str">
        <x:v>周三</x:v>
      </x:c>
      <x:c r="C163" s="23" t="str">
        <x:v>7月16日</x:v>
      </x:c>
      <x:c r="D163" s="24" t="n">
        <x:v>5891.6</x:v>
      </x:c>
      <x:c r="E163" s="24" t="n">
        <x:v>5961.2</x:v>
      </x:c>
      <x:c r="F163" s="24" t="n">
        <x:v>5873</x:v>
      </x:c>
      <x:c r="G163" s="24" t="n">
        <x:v>5895.2</x:v>
      </x:c>
      <x:c r="H163" s="24"/>
      <x:c r="I163" s="25" t="n">
        <x:v>0.00030542640920350195</x:v>
      </x:c>
      <x:c r="J163" s="24" t="n">
        <x:f>ROUND(E163-F163,1)</x:f>
        <x:v>88.2</x:v>
      </x:c>
      <x:c r="K163" s="23" t="str">
        <x:v>IC2509</x:v>
      </x:c>
    </x:row>
    <x:row r="164">
      <x:c r="A164" s="23" t="n">
        <x:v>13</x:v>
      </x:c>
      <x:c r="B164" s="23" t="str">
        <x:v>周四</x:v>
      </x:c>
      <x:c r="C164" s="23" t="str">
        <x:v>7月17日</x:v>
      </x:c>
      <x:c r="D164" s="24" t="n">
        <x:v>5900</x:v>
      </x:c>
      <x:c r="E164" s="24" t="n">
        <x:v>5981</x:v>
      </x:c>
      <x:c r="F164" s="24" t="n">
        <x:v>5890.8</x:v>
      </x:c>
      <x:c r="G164" s="24" t="n">
        <x:v>5978</x:v>
      </x:c>
      <x:c r="H164" s="24"/>
      <x:c r="I164" s="25" t="n">
        <x:v>0.014045325010177745</x:v>
      </x:c>
      <x:c r="J164" s="24" t="n">
        <x:f>ROUND(E164-F164,1)</x:f>
        <x:v>90.2</x:v>
      </x:c>
      <x:c r="K164" s="23" t="str">
        <x:v>IC2509</x:v>
      </x:c>
    </x:row>
    <x:row r="165">
      <x:c r="A165" s="33" t="n">
        <x:v>14</x:v>
      </x:c>
      <x:c r="B165" s="33" t="str">
        <x:v>周五</x:v>
      </x:c>
      <x:c r="C165" s="33" t="str">
        <x:v>7月18日</x:v>
      </x:c>
      <x:c r="D165" s="34" t="n">
        <x:v>5988.8</x:v>
      </x:c>
      <x:c r="E165" s="34" t="n">
        <x:v>6022</x:v>
      </x:c>
      <x:c r="F165" s="34" t="n">
        <x:v>5968</x:v>
      </x:c>
      <x:c r="G165" s="34" t="n">
        <x:v>6000.8</x:v>
      </x:c>
      <x:c r="H165" s="34"/>
      <x:c r="I165" s="35" t="n">
        <x:v>0.0038139846102376307</x:v>
      </x:c>
      <x:c r="J165" s="34" t="n">
        <x:f>ROUND(E165-F165,1)</x:f>
        <x:v>54</x:v>
      </x:c>
      <x:c r="K165" s="33" t="str">
        <x:v>IC2509</x:v>
      </x:c>
    </x:row>
    <x:row r="166">
      <x:c r="A166" s="23" t="n">
        <x:v>15</x:v>
      </x:c>
      <x:c r="B166" s="23" t="str">
        <x:v>周一</x:v>
      </x:c>
      <x:c r="C166" s="23" t="str">
        <x:v>7月21日</x:v>
      </x:c>
      <x:c r="D166" s="24" t="n">
        <x:v>6036</x:v>
      </x:c>
      <x:c r="E166" s="24" t="n">
        <x:v>6077.4</x:v>
      </x:c>
      <x:c r="F166" s="24" t="n">
        <x:v>6022.2</x:v>
      </x:c>
      <x:c r="G166" s="24" t="n">
        <x:v>6055.6</x:v>
      </x:c>
      <x:c r="H166" s="24"/>
      <x:c r="I166" s="25" t="n">
        <x:v>0.009132115717904288</x:v>
      </x:c>
      <x:c r="J166" s="24" t="n">
        <x:f>ROUND(E166-F166,1)</x:f>
        <x:v>55.2</x:v>
      </x:c>
      <x:c r="K166" s="23" t="str">
        <x:v>IC2509</x:v>
      </x:c>
    </x:row>
    <x:row r="167">
      <x:c r="A167" s="23" t="n">
        <x:v>16</x:v>
      </x:c>
      <x:c r="B167" s="23" t="str">
        <x:v>周二</x:v>
      </x:c>
      <x:c r="C167" s="23" t="str">
        <x:v>7月22日</x:v>
      </x:c>
      <x:c r="D167" s="24" t="n">
        <x:v>6064</x:v>
      </x:c>
      <x:c r="E167" s="24" t="n">
        <x:v>6133</x:v>
      </x:c>
      <x:c r="F167" s="24" t="n">
        <x:v>6050</x:v>
      </x:c>
      <x:c r="G167" s="24" t="n">
        <x:v>6129.4</x:v>
      </x:c>
      <x:c r="H167" s="24"/>
      <x:c r="I167" s="25" t="n">
        <x:v>0.01218706651694279</x:v>
      </x:c>
      <x:c r="J167" s="24" t="n">
        <x:f>ROUND(E167-F167,1)</x:f>
        <x:v>83</x:v>
      </x:c>
      <x:c r="K167" s="23" t="str">
        <x:v>IC2509</x:v>
      </x:c>
    </x:row>
    <x:row r="168">
      <x:c r="A168" s="23" t="n">
        <x:v>17</x:v>
      </x:c>
      <x:c r="B168" s="23" t="str">
        <x:v>周三</x:v>
      </x:c>
      <x:c r="C168" s="23" t="str">
        <x:v>7月23日</x:v>
      </x:c>
      <x:c r="D168" s="24" t="n">
        <x:v>6135.8</x:v>
      </x:c>
      <x:c r="E168" s="24" t="n">
        <x:v>6184.8</x:v>
      </x:c>
      <x:c r="F168" s="24" t="n">
        <x:v>6101.8</x:v>
      </x:c>
      <x:c r="G168" s="24" t="n">
        <x:v>6120</x:v>
      </x:c>
      <x:c r="H168" s="24"/>
      <x:c r="I168" s="25" t="n">
        <x:v>-0.001533592194994604</x:v>
      </x:c>
      <x:c r="J168" s="24" t="n">
        <x:f>ROUND(E168-F168,1)</x:f>
        <x:v>83</x:v>
      </x:c>
      <x:c r="K168" s="23" t="str">
        <x:v>IC2509</x:v>
      </x:c>
    </x:row>
    <x:row r="169">
      <x:c r="A169" s="23" t="n">
        <x:v>18</x:v>
      </x:c>
      <x:c r="B169" s="23" t="str">
        <x:v>周四</x:v>
      </x:c>
      <x:c r="C169" s="23" t="str">
        <x:v>7月24日</x:v>
      </x:c>
      <x:c r="D169" s="24" t="n">
        <x:v>6120.4</x:v>
      </x:c>
      <x:c r="E169" s="24" t="n">
        <x:v>6234.6</x:v>
      </x:c>
      <x:c r="F169" s="24" t="n">
        <x:v>6115</x:v>
      </x:c>
      <x:c r="G169" s="24" t="n">
        <x:v>6226</x:v>
      </x:c>
      <x:c r="H169" s="24"/>
      <x:c r="I169" s="25" t="n">
        <x:v>0.017320261437908435</x:v>
      </x:c>
      <x:c r="J169" s="24" t="n">
        <x:f>ROUND(E169-F169,1)</x:f>
        <x:v>119.6</x:v>
      </x:c>
      <x:c r="K169" s="23" t="str">
        <x:v>IC2509</x:v>
      </x:c>
    </x:row>
    <x:row r="170">
      <x:c r="A170" s="23" t="n">
        <x:v>19</x:v>
      </x:c>
      <x:c r="B170" s="23" t="str">
        <x:v>周五</x:v>
      </x:c>
      <x:c r="C170" s="23" t="str">
        <x:v>7月25日</x:v>
      </x:c>
      <x:c r="D170" s="24" t="n">
        <x:v>6218</x:v>
      </x:c>
      <x:c r="E170" s="24" t="n">
        <x:v>6232</x:v>
      </x:c>
      <x:c r="F170" s="24" t="n">
        <x:v>6189.6</x:v>
      </x:c>
      <x:c r="G170" s="24" t="n">
        <x:v>6216</x:v>
      </x:c>
      <x:c r="H170" s="24"/>
      <x:c r="I170" s="25" t="n">
        <x:v>-0.0016061676839062011</x:v>
      </x:c>
      <x:c r="J170" s="24" t="n">
        <x:f>ROUND(E170-F170,1)</x:f>
        <x:v>42.4</x:v>
      </x:c>
      <x:c r="K170" s="23" t="str">
        <x:v>IC2509</x:v>
      </x:c>
    </x:row>
    <x:row r="171">
      <x:c r="A171" s="23" t="n">
        <x:v>20</x:v>
      </x:c>
      <x:c r="B171" s="23" t="str">
        <x:v>周一</x:v>
      </x:c>
      <x:c r="C171" s="23" t="str">
        <x:v>7月28日</x:v>
      </x:c>
      <x:c r="D171" s="24" t="n">
        <x:v>6218.4</x:v>
      </x:c>
      <x:c r="E171" s="24" t="n">
        <x:v>6251.8</x:v>
      </x:c>
      <x:c r="F171" s="24" t="n">
        <x:v>6176.2</x:v>
      </x:c>
      <x:c r="G171" s="24" t="n">
        <x:v>6222</x:v>
      </x:c>
      <x:c r="H171" s="24"/>
      <x:c r="I171" s="25" t="n">
        <x:v>0.0009652509652509078</x:v>
      </x:c>
      <x:c r="J171" s="24" t="n">
        <x:f>ROUND(E171-F171,1)</x:f>
        <x:v>75.6</x:v>
      </x:c>
      <x:c r="K171" s="23" t="str">
        <x:v>IC2509</x:v>
      </x:c>
    </x:row>
    <x:row r="172">
      <x:c r="A172" s="23" t="n">
        <x:v>21</x:v>
      </x:c>
      <x:c r="B172" s="23" t="str">
        <x:v>周二</x:v>
      </x:c>
      <x:c r="C172" s="23" t="str">
        <x:v>7月29日</x:v>
      </x:c>
      <x:c r="D172" s="24" t="n">
        <x:v>6211</x:v>
      </x:c>
      <x:c r="E172" s="24" t="n">
        <x:v>6267</x:v>
      </x:c>
      <x:c r="F172" s="24" t="n">
        <x:v>6161.4</x:v>
      </x:c>
      <x:c r="G172" s="24" t="n">
        <x:v>6263</x:v>
      </x:c>
      <x:c r="H172" s="24"/>
      <x:c r="I172" s="25" t="n">
        <x:v>0.006589521054323422</x:v>
      </x:c>
      <x:c r="J172" s="24" t="n">
        <x:f>ROUND(E172-F172,1)</x:f>
        <x:v>105.6</x:v>
      </x:c>
      <x:c r="K172" s="23" t="str">
        <x:v>IC2509</x:v>
      </x:c>
    </x:row>
    <x:row r="173">
      <x:c r="A173" s="23" t="n">
        <x:v>22</x:v>
      </x:c>
      <x:c r="B173" s="23" t="str">
        <x:v>周三</x:v>
      </x:c>
      <x:c r="C173" s="23" t="str">
        <x:v>7月30日</x:v>
      </x:c>
      <x:c r="D173" s="24" t="n">
        <x:v>6261</x:v>
      </x:c>
      <x:c r="E173" s="24" t="n">
        <x:v>6275</x:v>
      </x:c>
      <x:c r="F173" s="24" t="n">
        <x:v>6173.2</x:v>
      </x:c>
      <x:c r="G173" s="24" t="n">
        <x:v>6215.4</x:v>
      </x:c>
      <x:c r="H173" s="24"/>
      <x:c r="I173" s="25" t="n">
        <x:v>-0.007600191601468964</x:v>
      </x:c>
      <x:c r="J173" s="24" t="n">
        <x:f>ROUND(E173-F173,1)</x:f>
        <x:v>101.8</x:v>
      </x:c>
      <x:c r="K173" s="23" t="str">
        <x:v>IC2509</x:v>
      </x:c>
    </x:row>
    <x:row r="174">
      <x:c r="A174" s="23" t="n">
        <x:v>23</x:v>
      </x:c>
      <x:c r="B174" s="23" t="str">
        <x:v>周四</x:v>
      </x:c>
      <x:c r="C174" s="23" t="str">
        <x:v>7月31日</x:v>
      </x:c>
      <x:c r="D174" s="24" t="n">
        <x:v>6198.4</x:v>
      </x:c>
      <x:c r="E174" s="24" t="n">
        <x:v>6228</x:v>
      </x:c>
      <x:c r="F174" s="24" t="n">
        <x:v>6084.4</x:v>
      </x:c>
      <x:c r="G174" s="24" t="n">
        <x:v>6124</x:v>
      </x:c>
      <x:c r="H174" s="24"/>
      <x:c r="I174" s="25" t="n">
        <x:v>-0.014705409145026827</x:v>
      </x:c>
      <x:c r="J174" s="24" t="n">
        <x:f>ROUND(E174-F174,1)</x:f>
        <x:v>143.6</x:v>
      </x:c>
      <x:c r="K174" s="23" t="str">
        <x:v>IC2509</x:v>
      </x:c>
    </x:row>
    <x:row r="175">
      <x:c r="A175" s="38" t="str">
        <x:v>合计</x:v>
      </x:c>
      <x:c r="B175" s="37" t="n">
        <x:v>23</x:v>
      </x:c>
      <x:c r="C175" s="37"/>
      <x:c r="D175" s="37"/>
      <x:c r="E175" s="37"/>
      <x:c r="F175" s="37"/>
      <x:c r="G175" s="37"/>
      <x:c r="H175" s="37"/>
      <x:c r="I175" s="37"/>
      <x:c r="J175" s="39" t="n">
        <x:f>ROUND(SUM(J152:J174),1)</x:f>
        <x:v>1828.8</x:v>
      </x:c>
      <x:c r="K175" s="37"/>
    </x:row>
    <x:row r="176">
      <x:c r="A176" s="38" t="str">
        <x:v>均值</x:v>
      </x:c>
      <x:c r="B176" s="37"/>
      <x:c r="C176" s="37"/>
      <x:c r="D176" s="37"/>
      <x:c r="E176" s="37"/>
      <x:c r="F176" s="37"/>
      <x:c r="G176" s="37"/>
      <x:c r="H176" s="37"/>
      <x:c r="I176" s="37"/>
      <x:c r="J176" s="41" t="n">
        <x:f>ROUND(IFERROR(AVERAGE(J152:J174),0),1)</x:f>
        <x:v>79.5</x:v>
      </x:c>
      <x:c r="K176" s="37"/>
    </x:row>
    <x:row r="178">
      <x:c r="A178" s="17" t="str">
        <x:v>8月</x:v>
      </x:c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</x:row>
    <x:row r="179">
      <x:c r="A179" s="20" t="str">
        <x:v>序号</x:v>
      </x:c>
      <x:c r="B179" s="20" t="str">
        <x:v>星期</x:v>
      </x:c>
      <x:c r="C179" s="20" t="str">
        <x:v>日期</x:v>
      </x:c>
      <x:c r="D179" s="20" t="str">
        <x:v>开盘</x:v>
      </x:c>
      <x:c r="E179" s="20" t="str">
        <x:v>高点</x:v>
      </x:c>
      <x:c r="F179" s="20" t="str">
        <x:v>低点</x:v>
      </x:c>
      <x:c r="G179" s="20" t="str">
        <x:v>收盘</x:v>
      </x:c>
      <x:c r="H179" s="20" t="str">
        <x:v>涨跌点数</x:v>
      </x:c>
      <x:c r="I179" s="20" t="str">
        <x:v>涨幅</x:v>
      </x:c>
      <x:c r="J179" s="20" t="str">
        <x:v>振幅</x:v>
      </x:c>
      <x:c r="K179" s="20" t="str">
        <x:v>标的</x:v>
      </x:c>
    </x:row>
    <x:row r="180">
      <x:c r="A180" s="23" t="n">
        <x:v>1</x:v>
      </x:c>
      <x:c r="B180" s="23" t="str">
        <x:v>周五</x:v>
      </x:c>
      <x:c r="C180" s="23" t="str">
        <x:v>8月1日</x:v>
      </x:c>
      <x:c r="D180" s="24" t="n">
        <x:v>6130</x:v>
      </x:c>
      <x:c r="E180" s="24" t="n">
        <x:v>6163.8</x:v>
      </x:c>
      <x:c r="F180" s="24" t="n">
        <x:v>6078.8</x:v>
      </x:c>
      <x:c r="G180" s="24" t="n">
        <x:v>6104</x:v>
      </x:c>
      <x:c r="H180" s="24"/>
      <x:c r="I180" s="25" t="n">
        <x:v>-0.003265839320705455</x:v>
      </x:c>
      <x:c r="J180" s="24" t="n">
        <x:f>ROUND(E180-F180,1)</x:f>
        <x:v>85</x:v>
      </x:c>
      <x:c r="K180" s="23" t="str">
        <x:v>IC2509</x:v>
      </x:c>
    </x:row>
    <x:row r="181">
      <x:c r="A181" s="23" t="n">
        <x:v>2</x:v>
      </x:c>
      <x:c r="B181" s="23" t="str">
        <x:v>周一</x:v>
      </x:c>
      <x:c r="C181" s="23" t="str">
        <x:v>8月4日</x:v>
      </x:c>
      <x:c r="D181" s="24" t="n">
        <x:v>6084</x:v>
      </x:c>
      <x:c r="E181" s="24" t="n">
        <x:v>6169.8</x:v>
      </x:c>
      <x:c r="F181" s="24" t="n">
        <x:v>6083.2</x:v>
      </x:c>
      <x:c r="G181" s="24" t="n">
        <x:v>6169</x:v>
      </x:c>
      <x:c r="H181" s="24"/>
      <x:c r="I181" s="25" t="n">
        <x:v>0.010648754914809988</x:v>
      </x:c>
      <x:c r="J181" s="24" t="n">
        <x:f>ROUND(E181-F181,1)</x:f>
        <x:v>86.6</x:v>
      </x:c>
      <x:c r="K181" s="23" t="str">
        <x:v>IC2509</x:v>
      </x:c>
    </x:row>
    <x:row r="182">
      <x:c r="A182" s="23" t="n">
        <x:v>3</x:v>
      </x:c>
      <x:c r="B182" s="23" t="str">
        <x:v>周二</x:v>
      </x:c>
      <x:c r="C182" s="23" t="str">
        <x:v>8月5日</x:v>
      </x:c>
      <x:c r="D182" s="24" t="n">
        <x:v>6177</x:v>
      </x:c>
      <x:c r="E182" s="24" t="n">
        <x:v>6204</x:v>
      </x:c>
      <x:c r="F182" s="24" t="n">
        <x:v>6160</x:v>
      </x:c>
      <x:c r="G182" s="24" t="n">
        <x:v>6198.6</x:v>
      </x:c>
      <x:c r="H182" s="24"/>
      <x:c r="I182" s="25" t="n">
        <x:v>0.004798184470740763</x:v>
      </x:c>
      <x:c r="J182" s="24" t="n">
        <x:f>ROUND(E182-F182,1)</x:f>
        <x:v>44</x:v>
      </x:c>
      <x:c r="K182" s="23" t="str">
        <x:v>IC2509</x:v>
      </x:c>
    </x:row>
    <x:row r="183">
      <x:c r="A183" s="23" t="n">
        <x:v>4</x:v>
      </x:c>
      <x:c r="B183" s="23" t="str">
        <x:v>周三</x:v>
      </x:c>
      <x:c r="C183" s="23" t="str">
        <x:v>8月6日</x:v>
      </x:c>
      <x:c r="D183" s="24" t="n">
        <x:v>6198</x:v>
      </x:c>
      <x:c r="E183" s="24" t="n">
        <x:v>6274</x:v>
      </x:c>
      <x:c r="F183" s="24" t="n">
        <x:v>6192</x:v>
      </x:c>
      <x:c r="G183" s="24" t="n">
        <x:v>6263.2</x:v>
      </x:c>
      <x:c r="H183" s="24"/>
      <x:c r="I183" s="25" t="n">
        <x:v>0.010421708127641649</x:v>
      </x:c>
      <x:c r="J183" s="24" t="n">
        <x:f>ROUND(E183-F183,1)</x:f>
        <x:v>82</x:v>
      </x:c>
      <x:c r="K183" s="23" t="str">
        <x:v>IC2509</x:v>
      </x:c>
    </x:row>
    <x:row r="184">
      <x:c r="A184" s="23" t="n">
        <x:v>5</x:v>
      </x:c>
      <x:c r="B184" s="23" t="str">
        <x:v>周四</x:v>
      </x:c>
      <x:c r="C184" s="23" t="str">
        <x:v>8月7日</x:v>
      </x:c>
      <x:c r="D184" s="24" t="n">
        <x:v>6262</x:v>
      </x:c>
      <x:c r="E184" s="24" t="n">
        <x:v>6288.8</x:v>
      </x:c>
      <x:c r="F184" s="24" t="n">
        <x:v>6195.2</x:v>
      </x:c>
      <x:c r="G184" s="24" t="n">
        <x:v>6226.4</x:v>
      </x:c>
      <x:c r="H184" s="24"/>
      <x:c r="I184" s="25" t="n">
        <x:v>-0.005875590752331128</x:v>
      </x:c>
      <x:c r="J184" s="24" t="n">
        <x:f>ROUND(E184-F184,1)</x:f>
        <x:v>93.6</x:v>
      </x:c>
      <x:c r="K184" s="23" t="str">
        <x:v>IC2509</x:v>
      </x:c>
    </x:row>
    <x:row r="185">
      <x:c r="A185" s="23" t="n">
        <x:v>6</x:v>
      </x:c>
      <x:c r="B185" s="23" t="str">
        <x:v>周五</x:v>
      </x:c>
      <x:c r="C185" s="23" t="str">
        <x:v>8月8日</x:v>
      </x:c>
      <x:c r="D185" s="24" t="n">
        <x:v>6219</x:v>
      </x:c>
      <x:c r="E185" s="24" t="n">
        <x:v>6251</x:v>
      </x:c>
      <x:c r="F185" s="24" t="n">
        <x:v>6196</x:v>
      </x:c>
      <x:c r="G185" s="24" t="n">
        <x:v>6227</x:v>
      </x:c>
      <x:c r="H185" s="24"/>
      <x:c r="I185" s="25" t="n">
        <x:v>0.00009636386997313728</x:v>
      </x:c>
      <x:c r="J185" s="24" t="n">
        <x:f>ROUND(E185-F185,1)</x:f>
        <x:v>55</x:v>
      </x:c>
      <x:c r="K185" s="23" t="str">
        <x:v>IC2509</x:v>
      </x:c>
    </x:row>
    <x:row r="186">
      <x:c r="A186" s="23" t="n">
        <x:v>7</x:v>
      </x:c>
      <x:c r="B186" s="23" t="str">
        <x:v>周一</x:v>
      </x:c>
      <x:c r="C186" s="23" t="str">
        <x:v>8月11日</x:v>
      </x:c>
      <x:c r="D186" s="24" t="n">
        <x:v>6254</x:v>
      </x:c>
      <x:c r="E186" s="24" t="n">
        <x:v>6339</x:v>
      </x:c>
      <x:c r="F186" s="24" t="n">
        <x:v>6240.8</x:v>
      </x:c>
      <x:c r="G186" s="24" t="n">
        <x:v>6298.8</x:v>
      </x:c>
      <x:c r="H186" s="24"/>
      <x:c r="I186" s="25" t="n">
        <x:v>0.011530431989722256</x:v>
      </x:c>
      <x:c r="J186" s="24" t="n">
        <x:f>ROUND(E186-F186,1)</x:f>
        <x:v>98.2</x:v>
      </x:c>
      <x:c r="K186" s="23" t="str">
        <x:v>IC2509</x:v>
      </x:c>
    </x:row>
    <x:row r="187">
      <x:c r="A187" s="23" t="n">
        <x:v>8</x:v>
      </x:c>
      <x:c r="B187" s="23" t="str">
        <x:v>周二</x:v>
      </x:c>
      <x:c r="C187" s="23" t="str">
        <x:v>8月12日</x:v>
      </x:c>
      <x:c r="D187" s="24" t="n">
        <x:v>6301</x:v>
      </x:c>
      <x:c r="E187" s="24" t="n">
        <x:v>6347.8</x:v>
      </x:c>
      <x:c r="F187" s="24" t="n">
        <x:v>6281</x:v>
      </x:c>
      <x:c r="G187" s="24" t="n">
        <x:v>6342.6</x:v>
      </x:c>
      <x:c r="H187" s="24"/>
      <x:c r="I187" s="25" t="n">
        <x:v>0.006953705467708238</x:v>
      </x:c>
      <x:c r="J187" s="24" t="n">
        <x:f>ROUND(E187-F187,1)</x:f>
        <x:v>66.8</x:v>
      </x:c>
      <x:c r="K187" s="23" t="str">
        <x:v>IC2509</x:v>
      </x:c>
    </x:row>
    <x:row r="188">
      <x:c r="A188" s="23" t="n">
        <x:v>9</x:v>
      </x:c>
      <x:c r="B188" s="23" t="str">
        <x:v>周三</x:v>
      </x:c>
      <x:c r="C188" s="23" t="str">
        <x:v>8月13日</x:v>
      </x:c>
      <x:c r="D188" s="24" t="n">
        <x:v>6351</x:v>
      </x:c>
      <x:c r="E188" s="24" t="n">
        <x:v>6466</x:v>
      </x:c>
      <x:c r="F188" s="24" t="n">
        <x:v>6351</x:v>
      </x:c>
      <x:c r="G188" s="24" t="n">
        <x:v>6451.8</x:v>
      </x:c>
      <x:c r="H188" s="24"/>
      <x:c r="I188" s="25" t="n">
        <x:v>0.01721691419922422</x:v>
      </x:c>
      <x:c r="J188" s="24" t="n">
        <x:f>ROUND(E188-F188,1)</x:f>
        <x:v>115</x:v>
      </x:c>
      <x:c r="K188" s="23" t="str">
        <x:v>IC2509</x:v>
      </x:c>
    </x:row>
    <x:row r="189">
      <x:c r="A189" s="23" t="n">
        <x:v>10</x:v>
      </x:c>
      <x:c r="B189" s="23" t="str">
        <x:v>周四</x:v>
      </x:c>
      <x:c r="C189" s="23" t="str">
        <x:v>8月14日</x:v>
      </x:c>
      <x:c r="D189" s="24" t="n">
        <x:v>6466</x:v>
      </x:c>
      <x:c r="E189" s="24" t="n">
        <x:v>6469.2</x:v>
      </x:c>
      <x:c r="F189" s="24" t="n">
        <x:v>6358.2</x:v>
      </x:c>
      <x:c r="G189" s="24" t="n">
        <x:v>6380.2</x:v>
      </x:c>
      <x:c r="H189" s="24"/>
      <x:c r="I189" s="25" t="n">
        <x:v>-0.011097678167333203</x:v>
      </x:c>
      <x:c r="J189" s="24" t="n">
        <x:f>ROUND(E189-F189,1)</x:f>
        <x:v>111</x:v>
      </x:c>
      <x:c r="K189" s="23" t="str">
        <x:v>IC2509</x:v>
      </x:c>
    </x:row>
    <x:row r="190">
      <x:c r="A190" s="33" t="n">
        <x:v>11</x:v>
      </x:c>
      <x:c r="B190" s="33" t="str">
        <x:v>周五</x:v>
      </x:c>
      <x:c r="C190" s="33" t="str">
        <x:v>8月15日</x:v>
      </x:c>
      <x:c r="D190" s="34" t="n">
        <x:v>6365</x:v>
      </x:c>
      <x:c r="E190" s="34" t="n">
        <x:v>6541</x:v>
      </x:c>
      <x:c r="F190" s="34" t="n">
        <x:v>6365</x:v>
      </x:c>
      <x:c r="G190" s="34" t="n">
        <x:v>6531</x:v>
      </x:c>
      <x:c r="H190" s="34"/>
      <x:c r="I190" s="35" t="n">
        <x:v>0.023635622707752102</x:v>
      </x:c>
      <x:c r="J190" s="29" t="n">
        <x:f>ROUND(E190-F190,1)</x:f>
        <x:v>176</x:v>
      </x:c>
      <x:c r="K190" s="33" t="str">
        <x:v>IC2509</x:v>
      </x:c>
    </x:row>
    <x:row r="191">
      <x:c r="A191" s="23" t="n">
        <x:v>12</x:v>
      </x:c>
      <x:c r="B191" s="23" t="str">
        <x:v>周一</x:v>
      </x:c>
      <x:c r="C191" s="23" t="str">
        <x:v>8月18日</x:v>
      </x:c>
      <x:c r="D191" s="24" t="n">
        <x:v>6552</x:v>
      </x:c>
      <x:c r="E191" s="24" t="n">
        <x:v>6684.6</x:v>
      </x:c>
      <x:c r="F191" s="24" t="n">
        <x:v>6530</x:v>
      </x:c>
      <x:c r="G191" s="24" t="n">
        <x:v>6608</x:v>
      </x:c>
      <x:c r="H191" s="24"/>
      <x:c r="I191" s="25" t="n">
        <x:v>0.011789924973204746</x:v>
      </x:c>
      <x:c r="J191" s="29" t="n">
        <x:f>ROUND(E191-F191,1)</x:f>
        <x:v>154.6</x:v>
      </x:c>
      <x:c r="K191" s="23" t="str">
        <x:v>IC2509</x:v>
      </x:c>
    </x:row>
    <x:row r="192">
      <x:c r="A192" s="23" t="n">
        <x:v>13</x:v>
      </x:c>
      <x:c r="B192" s="23" t="str">
        <x:v>周二</x:v>
      </x:c>
      <x:c r="C192" s="23" t="str">
        <x:v>8月19日</x:v>
      </x:c>
      <x:c r="D192" s="24" t="n">
        <x:v>6600</x:v>
      </x:c>
      <x:c r="E192" s="24" t="n">
        <x:v>6652</x:v>
      </x:c>
      <x:c r="F192" s="24" t="n">
        <x:v>6583.2</x:v>
      </x:c>
      <x:c r="G192" s="24" t="n">
        <x:v>6600</x:v>
      </x:c>
      <x:c r="H192" s="24"/>
      <x:c r="I192" s="25" t="n">
        <x:v>-0.001210653753026647</x:v>
      </x:c>
      <x:c r="J192" s="24" t="n">
        <x:f>ROUND(E192-F192,1)</x:f>
        <x:v>68.8</x:v>
      </x:c>
      <x:c r="K192" s="23" t="str">
        <x:v>IC2509</x:v>
      </x:c>
    </x:row>
    <x:row r="193">
      <x:c r="A193" s="23" t="n">
        <x:v>14</x:v>
      </x:c>
      <x:c r="B193" s="23" t="str">
        <x:v>周三</x:v>
      </x:c>
      <x:c r="C193" s="23" t="str">
        <x:v>8月20日</x:v>
      </x:c>
      <x:c r="D193" s="24" t="n">
        <x:v>6568</x:v>
      </x:c>
      <x:c r="E193" s="24" t="n">
        <x:v>6699.4</x:v>
      </x:c>
      <x:c r="F193" s="24" t="n">
        <x:v>6522</x:v>
      </x:c>
      <x:c r="G193" s="24" t="n">
        <x:v>6695.2</x:v>
      </x:c>
      <x:c r="H193" s="24"/>
      <x:c r="I193" s="25" t="n">
        <x:v>0.01442424242424245</x:v>
      </x:c>
      <x:c r="J193" s="29" t="n">
        <x:f>ROUND(E193-F193,1)</x:f>
        <x:v>177.4</x:v>
      </x:c>
      <x:c r="K193" s="23" t="str">
        <x:v>IC2509</x:v>
      </x:c>
    </x:row>
    <x:row r="194">
      <x:c r="A194" s="23" t="n">
        <x:v>15</x:v>
      </x:c>
      <x:c r="B194" s="23" t="str">
        <x:v>周四</x:v>
      </x:c>
      <x:c r="C194" s="23" t="str">
        <x:v>8月21日</x:v>
      </x:c>
      <x:c r="D194" s="24" t="n">
        <x:v>6703</x:v>
      </x:c>
      <x:c r="E194" s="24" t="n">
        <x:v>6724.4</x:v>
      </x:c>
      <x:c r="F194" s="24" t="n">
        <x:v>6618.4</x:v>
      </x:c>
      <x:c r="G194" s="24" t="n">
        <x:v>6656.4</x:v>
      </x:c>
      <x:c r="H194" s="24"/>
      <x:c r="I194" s="25" t="n">
        <x:v>-0.005795196558728621</x:v>
      </x:c>
      <x:c r="J194" s="24" t="n">
        <x:f>ROUND(E194-F194,1)</x:f>
        <x:v>106</x:v>
      </x:c>
      <x:c r="K194" s="23" t="str">
        <x:v>IC2509</x:v>
      </x:c>
    </x:row>
    <x:row r="195">
      <x:c r="A195" s="23" t="n">
        <x:v>16</x:v>
      </x:c>
      <x:c r="B195" s="23" t="str">
        <x:v>周五</x:v>
      </x:c>
      <x:c r="C195" s="23" t="str">
        <x:v>8月22日</x:v>
      </x:c>
      <x:c r="D195" s="24" t="n">
        <x:v>6660.2</x:v>
      </x:c>
      <x:c r="E195" s="24" t="n">
        <x:v>6812</x:v>
      </x:c>
      <x:c r="F195" s="24" t="n">
        <x:v>6660.2</x:v>
      </x:c>
      <x:c r="G195" s="24" t="n">
        <x:v>6810.4</x:v>
      </x:c>
      <x:c r="H195" s="24"/>
      <x:c r="I195" s="25" t="n">
        <x:v>0.023135628868457436</x:v>
      </x:c>
      <x:c r="J195" s="29" t="n">
        <x:f>ROUND(E195-F195,1)</x:f>
        <x:v>151.8</x:v>
      </x:c>
      <x:c r="K195" s="23" t="str">
        <x:v>IC2509</x:v>
      </x:c>
    </x:row>
    <x:row r="196">
      <x:c r="A196" s="23" t="n">
        <x:v>17</x:v>
      </x:c>
      <x:c r="B196" s="23" t="str">
        <x:v>周一</x:v>
      </x:c>
      <x:c r="C196" s="23" t="str">
        <x:v>8月25日</x:v>
      </x:c>
      <x:c r="D196" s="24" t="n">
        <x:v>6836</x:v>
      </x:c>
      <x:c r="E196" s="24" t="n">
        <x:v>6958.2</x:v>
      </x:c>
      <x:c r="F196" s="24" t="n">
        <x:v>6831</x:v>
      </x:c>
      <x:c r="G196" s="24" t="n">
        <x:v>6909.6</x:v>
      </x:c>
      <x:c r="H196" s="24"/>
      <x:c r="I196" s="25" t="n">
        <x:v>0.014565957946669927</x:v>
      </x:c>
      <x:c r="J196" s="24" t="n">
        <x:f>ROUND(E196-F196,1)</x:f>
        <x:v>127.2</x:v>
      </x:c>
      <x:c r="K196" s="23" t="str">
        <x:v>IC2509</x:v>
      </x:c>
    </x:row>
    <x:row r="197">
      <x:c r="A197" s="23" t="n">
        <x:v>18</x:v>
      </x:c>
      <x:c r="B197" s="23" t="str">
        <x:v>周二</x:v>
      </x:c>
      <x:c r="C197" s="23" t="str">
        <x:v>8月26日</x:v>
      </x:c>
      <x:c r="D197" s="24" t="n">
        <x:v>6886</x:v>
      </x:c>
      <x:c r="E197" s="24" t="n">
        <x:v>6983.2</x:v>
      </x:c>
      <x:c r="F197" s="24" t="n">
        <x:v>6872</x:v>
      </x:c>
      <x:c r="G197" s="24" t="n">
        <x:v>6916.4</x:v>
      </x:c>
      <x:c r="H197" s="24"/>
      <x:c r="I197" s="25" t="n">
        <x:v>0.000984138010883262</x:v>
      </x:c>
      <x:c r="J197" s="24" t="n">
        <x:f>ROUND(E197-F197,1)</x:f>
        <x:v>111.2</x:v>
      </x:c>
      <x:c r="K197" s="23" t="str">
        <x:v>IC2509</x:v>
      </x:c>
    </x:row>
    <x:row r="198">
      <x:c r="A198" s="23" t="n">
        <x:v>19</x:v>
      </x:c>
      <x:c r="B198" s="23" t="str">
        <x:v>周三</x:v>
      </x:c>
      <x:c r="C198" s="23" t="str">
        <x:v>8月27日</x:v>
      </x:c>
      <x:c r="D198" s="24" t="n">
        <x:v>6929.8</x:v>
      </x:c>
      <x:c r="E198" s="24" t="n">
        <x:v>7042.8</x:v>
      </x:c>
      <x:c r="F198" s="24" t="n">
        <x:v>6813.4</x:v>
      </x:c>
      <x:c r="G198" s="24" t="n">
        <x:v>6837.8</x:v>
      </x:c>
      <x:c r="H198" s="24"/>
      <x:c r="I198" s="25" t="n">
        <x:v>-0.011364293563125294</x:v>
      </x:c>
      <x:c r="J198" s="29" t="n">
        <x:f>ROUND(E198-F198,1)</x:f>
        <x:v>229.4</x:v>
      </x:c>
      <x:c r="K198" s="23" t="str">
        <x:v>IC2509</x:v>
      </x:c>
    </x:row>
    <x:row r="199">
      <x:c r="A199" s="23" t="n">
        <x:v>20</x:v>
      </x:c>
      <x:c r="B199" s="23" t="str">
        <x:v>周四</x:v>
      </x:c>
      <x:c r="C199" s="23" t="str">
        <x:v>8月28日</x:v>
      </x:c>
      <x:c r="D199" s="24" t="n">
        <x:v>6850</x:v>
      </x:c>
      <x:c r="E199" s="24" t="n">
        <x:v>6977.2</x:v>
      </x:c>
      <x:c r="F199" s="24" t="n">
        <x:v>6761.4</x:v>
      </x:c>
      <x:c r="G199" s="24" t="n">
        <x:v>6967</x:v>
      </x:c>
      <x:c r="H199" s="24"/>
      <x:c r="I199" s="25" t="n">
        <x:v>0.018894966217204434</x:v>
      </x:c>
      <x:c r="J199" s="29" t="n">
        <x:f>ROUND(E199-F199,1)</x:f>
        <x:v>215.8</x:v>
      </x:c>
      <x:c r="K199" s="23" t="str">
        <x:v>IC2509</x:v>
      </x:c>
    </x:row>
    <x:row r="200">
      <x:c r="A200" s="23" t="n">
        <x:v>21</x:v>
      </x:c>
      <x:c r="B200" s="23" t="str">
        <x:v>周五</x:v>
      </x:c>
      <x:c r="C200" s="23" t="str">
        <x:v>8月29日</x:v>
      </x:c>
      <x:c r="D200" s="24" t="n">
        <x:v>6960</x:v>
      </x:c>
      <x:c r="E200" s="24" t="n">
        <x:v>7039.4</x:v>
      </x:c>
      <x:c r="F200" s="24" t="n">
        <x:v>6925.2</x:v>
      </x:c>
      <x:c r="G200" s="24" t="n">
        <x:v>6996.8</x:v>
      </x:c>
      <x:c r="H200" s="24"/>
      <x:c r="I200" s="25" t="n">
        <x:v>0.004277307305870615</x:v>
      </x:c>
      <x:c r="J200" s="24" t="n">
        <x:f>ROUND(E200-F200,1)</x:f>
        <x:v>114.2</x:v>
      </x:c>
      <x:c r="K200" s="23" t="str">
        <x:v>IC2509</x:v>
      </x:c>
    </x:row>
    <x:row r="201">
      <x:c r="A201" s="38" t="str">
        <x:v>合计</x:v>
      </x:c>
      <x:c r="B201" s="37" t="n">
        <x:v>21</x:v>
      </x:c>
      <x:c r="C201" s="37"/>
      <x:c r="D201" s="37"/>
      <x:c r="E201" s="37"/>
      <x:c r="F201" s="37"/>
      <x:c r="G201" s="37"/>
      <x:c r="H201" s="37"/>
      <x:c r="I201" s="37"/>
      <x:c r="J201" s="39" t="n">
        <x:f>ROUND(SUM(J180:J200),1)</x:f>
        <x:v>2469.6</x:v>
      </x:c>
      <x:c r="K201" s="37"/>
    </x:row>
    <x:row r="202">
      <x:c r="A202" s="38" t="str">
        <x:v>均值</x:v>
      </x:c>
      <x:c r="B202" s="37"/>
      <x:c r="C202" s="37"/>
      <x:c r="D202" s="37"/>
      <x:c r="E202" s="37"/>
      <x:c r="F202" s="37"/>
      <x:c r="G202" s="37"/>
      <x:c r="H202" s="37"/>
      <x:c r="I202" s="37"/>
      <x:c r="J202" s="41" t="n">
        <x:f>ROUND(IFERROR(AVERAGE(J180:J200),0),1)</x:f>
        <x:v>117.6</x:v>
      </x:c>
      <x:c r="K202" s="37"/>
    </x:row>
    <x:row r="204">
      <x:c r="A204" s="17" t="str">
        <x:v>9月</x:v>
      </x:c>
      <x:c r="B204" s="17"/>
      <x:c r="C204" s="17"/>
      <x:c r="D204" s="17"/>
      <x:c r="E204" s="17"/>
      <x:c r="F204" s="17"/>
      <x:c r="G204" s="17"/>
      <x:c r="H204" s="17"/>
      <x:c r="I204" s="17"/>
      <x:c r="J204" s="17"/>
      <x:c r="K204" s="17"/>
    </x:row>
    <x:row r="205">
      <x:c r="A205" s="20" t="str">
        <x:v>序号</x:v>
      </x:c>
      <x:c r="B205" s="20" t="str">
        <x:v>星期</x:v>
      </x:c>
      <x:c r="C205" s="20" t="str">
        <x:v>日期</x:v>
      </x:c>
      <x:c r="D205" s="20" t="str">
        <x:v>开盘</x:v>
      </x:c>
      <x:c r="E205" s="20" t="str">
        <x:v>高点</x:v>
      </x:c>
      <x:c r="F205" s="20" t="str">
        <x:v>低点</x:v>
      </x:c>
      <x:c r="G205" s="20" t="str">
        <x:v>收盘</x:v>
      </x:c>
      <x:c r="H205" s="20" t="str">
        <x:v>涨跌点数</x:v>
      </x:c>
      <x:c r="I205" s="20" t="str">
        <x:v>涨幅</x:v>
      </x:c>
      <x:c r="J205" s="20" t="str">
        <x:v>振幅</x:v>
      </x:c>
      <x:c r="K205" s="20" t="str">
        <x:v>标的</x:v>
      </x:c>
    </x:row>
    <x:row r="206">
      <x:c r="A206" s="23" t="n">
        <x:v>1</x:v>
      </x:c>
      <x:c r="B206" s="23" t="str">
        <x:v>周一</x:v>
      </x:c>
      <x:c r="C206" s="23" t="str">
        <x:v>9月1日</x:v>
      </x:c>
      <x:c r="D206" s="24" t="n">
        <x:v>7021</x:v>
      </x:c>
      <x:c r="E206" s="24" t="n">
        <x:v>7065</x:v>
      </x:c>
      <x:c r="F206" s="24" t="n">
        <x:v>6975</x:v>
      </x:c>
      <x:c r="G206" s="24" t="n">
        <x:v>7014.8</x:v>
      </x:c>
      <x:c r="H206" s="24"/>
      <x:c r="I206" s="25" t="n">
        <x:v>0.0025726046192544594</x:v>
      </x:c>
      <x:c r="J206" s="24" t="n">
        <x:f>ROUND(E206-F206,1)</x:f>
        <x:v>90</x:v>
      </x:c>
      <x:c r="K206" s="23" t="str">
        <x:v>IC2509</x:v>
      </x:c>
    </x:row>
    <x:row r="207">
      <x:c r="A207" s="23" t="n">
        <x:v>2</x:v>
      </x:c>
      <x:c r="B207" s="23" t="str">
        <x:v>周二</x:v>
      </x:c>
      <x:c r="C207" s="23" t="str">
        <x:v>9月2日</x:v>
      </x:c>
      <x:c r="D207" s="24" t="n">
        <x:v>7026</x:v>
      </x:c>
      <x:c r="E207" s="24" t="n">
        <x:v>7031.8</x:v>
      </x:c>
      <x:c r="F207" s="24" t="n">
        <x:v>6830</x:v>
      </x:c>
      <x:c r="G207" s="24" t="n">
        <x:v>6896.2</x:v>
      </x:c>
      <x:c r="H207" s="24"/>
      <x:c r="I207" s="25" t="n">
        <x:v>-0.01690711068027606</x:v>
      </x:c>
      <x:c r="J207" s="29" t="n">
        <x:f>ROUND(E207-F207,1)</x:f>
        <x:v>201.8</x:v>
      </x:c>
      <x:c r="K207" s="23" t="str">
        <x:v>IC2509</x:v>
      </x:c>
    </x:row>
    <x:row r="208">
      <x:c r="A208" s="23" t="n">
        <x:v>3</x:v>
      </x:c>
      <x:c r="B208" s="23" t="str">
        <x:v>周三</x:v>
      </x:c>
      <x:c r="C208" s="23" t="str">
        <x:v>9月3日</x:v>
      </x:c>
      <x:c r="D208" s="24" t="n">
        <x:v>6928</x:v>
      </x:c>
      <x:c r="E208" s="24" t="n">
        <x:v>6945</x:v>
      </x:c>
      <x:c r="F208" s="24" t="n">
        <x:v>6758.2</x:v>
      </x:c>
      <x:c r="G208" s="24" t="n">
        <x:v>6788.8</x:v>
      </x:c>
      <x:c r="H208" s="24"/>
      <x:c r="I208" s="25" t="n">
        <x:v>-0.015573794263507357</x:v>
      </x:c>
      <x:c r="J208" s="29" t="n">
        <x:f>ROUND(E208-F208,1)</x:f>
        <x:v>186.8</x:v>
      </x:c>
      <x:c r="K208" s="23" t="str">
        <x:v>IC2509</x:v>
      </x:c>
    </x:row>
    <x:row r="209">
      <x:c r="A209" s="23" t="n">
        <x:v>4</x:v>
      </x:c>
      <x:c r="B209" s="23" t="str">
        <x:v>周四</x:v>
      </x:c>
      <x:c r="C209" s="23" t="str">
        <x:v>9月4日</x:v>
      </x:c>
      <x:c r="D209" s="24" t="n">
        <x:v>6818</x:v>
      </x:c>
      <x:c r="E209" s="24" t="n">
        <x:v>6857.2</x:v>
      </x:c>
      <x:c r="F209" s="24" t="n">
        <x:v>6550</x:v>
      </x:c>
      <x:c r="G209" s="24" t="n">
        <x:v>6647</x:v>
      </x:c>
      <x:c r="H209" s="24"/>
      <x:c r="I209" s="25" t="n">
        <x:v>-0.020887343860476082</x:v>
      </x:c>
      <x:c r="J209" s="29" t="n">
        <x:f>ROUND(E209-F209,1)</x:f>
        <x:v>307.2</x:v>
      </x:c>
      <x:c r="K209" s="23" t="str">
        <x:v>IC2509</x:v>
      </x:c>
    </x:row>
    <x:row r="210">
      <x:c r="A210" s="23" t="n">
        <x:v>5</x:v>
      </x:c>
      <x:c r="B210" s="23" t="str">
        <x:v>周五</x:v>
      </x:c>
      <x:c r="C210" s="23" t="str">
        <x:v>9月5日</x:v>
      </x:c>
      <x:c r="D210" s="24" t="n">
        <x:v>6667</x:v>
      </x:c>
      <x:c r="E210" s="24" t="n">
        <x:v>6905.2</x:v>
      </x:c>
      <x:c r="F210" s="24" t="n">
        <x:v>6637.8</x:v>
      </x:c>
      <x:c r="G210" s="24" t="n">
        <x:v>6898.6</x:v>
      </x:c>
      <x:c r="H210" s="24"/>
      <x:c r="I210" s="25" t="n">
        <x:v>0.0378516624040921</x:v>
      </x:c>
      <x:c r="J210" s="29" t="n">
        <x:f>ROUND(E210-F210,1)</x:f>
        <x:v>267.4</x:v>
      </x:c>
      <x:c r="K210" s="23" t="str">
        <x:v>IC2509</x:v>
      </x:c>
    </x:row>
    <x:row r="211">
      <x:c r="A211" s="23" t="n">
        <x:v>6</x:v>
      </x:c>
      <x:c r="B211" s="23" t="str">
        <x:v>周一</x:v>
      </x:c>
      <x:c r="C211" s="23" t="str">
        <x:v>9月8日</x:v>
      </x:c>
      <x:c r="D211" s="24" t="n">
        <x:v>6906.2</x:v>
      </x:c>
      <x:c r="E211" s="24" t="n">
        <x:v>6953.4</x:v>
      </x:c>
      <x:c r="F211" s="24" t="n">
        <x:v>6841.6</x:v>
      </x:c>
      <x:c r="G211" s="24" t="n">
        <x:v>6920.8</x:v>
      </x:c>
      <x:c r="H211" s="24"/>
      <x:c r="I211" s="25" t="n">
        <x:v>0.0032180442408604737</x:v>
      </x:c>
      <x:c r="J211" s="24" t="n">
        <x:f>ROUND(E211-F211,1)</x:f>
        <x:v>111.8</x:v>
      </x:c>
      <x:c r="K211" s="23" t="str">
        <x:v>IC2509</x:v>
      </x:c>
    </x:row>
    <x:row r="212">
      <x:c r="A212" s="23" t="n">
        <x:v>7</x:v>
      </x:c>
      <x:c r="B212" s="23" t="str">
        <x:v>周二</x:v>
      </x:c>
      <x:c r="C212" s="23" t="str">
        <x:v>9月9日</x:v>
      </x:c>
      <x:c r="D212" s="24" t="n">
        <x:v>6904</x:v>
      </x:c>
      <x:c r="E212" s="24" t="n">
        <x:v>6948.4</x:v>
      </x:c>
      <x:c r="F212" s="24" t="n">
        <x:v>6832</x:v>
      </x:c>
      <x:c r="G212" s="24" t="n">
        <x:v>6872.8</x:v>
      </x:c>
      <x:c r="H212" s="24"/>
      <x:c r="I212" s="25" t="n">
        <x:v>-0.006935614379840471</x:v>
      </x:c>
      <x:c r="J212" s="24" t="n">
        <x:f>ROUND(E212-F212,1)</x:f>
        <x:v>116.4</x:v>
      </x:c>
      <x:c r="K212" s="23" t="str">
        <x:v>IC2509</x:v>
      </x:c>
    </x:row>
    <x:row r="213">
      <x:c r="A213" s="23" t="n">
        <x:v>8</x:v>
      </x:c>
      <x:c r="B213" s="23" t="str">
        <x:v>周三</x:v>
      </x:c>
      <x:c r="C213" s="23" t="str">
        <x:v>9月10日</x:v>
      </x:c>
      <x:c r="D213" s="24" t="n">
        <x:v>6883.8</x:v>
      </x:c>
      <x:c r="E213" s="24" t="n">
        <x:v>6948.8</x:v>
      </x:c>
      <x:c r="F213" s="24" t="n">
        <x:v>6833</x:v>
      </x:c>
      <x:c r="G213" s="24" t="n">
        <x:v>6863.4</x:v>
      </x:c>
      <x:c r="H213" s="24"/>
      <x:c r="I213" s="25" t="n">
        <x:v>-0.001367710394599042</x:v>
      </x:c>
      <x:c r="J213" s="24" t="n">
        <x:f>ROUND(E213-F213,1)</x:f>
        <x:v>115.8</x:v>
      </x:c>
      <x:c r="K213" s="23" t="str">
        <x:v>IC2509</x:v>
      </x:c>
    </x:row>
    <x:row r="214">
      <x:c r="A214" s="23" t="n">
        <x:v>9</x:v>
      </x:c>
      <x:c r="B214" s="23" t="str">
        <x:v>周四</x:v>
      </x:c>
      <x:c r="C214" s="23" t="str">
        <x:v>9月11日</x:v>
      </x:c>
      <x:c r="D214" s="24" t="n">
        <x:v>6863</x:v>
      </x:c>
      <x:c r="E214" s="24" t="n">
        <x:v>7125.8</x:v>
      </x:c>
      <x:c r="F214" s="24" t="n">
        <x:v>6825</x:v>
      </x:c>
      <x:c r="G214" s="24" t="n">
        <x:v>7124.6</x:v>
      </x:c>
      <x:c r="H214" s="24"/>
      <x:c r="I214" s="25" t="n">
        <x:v>0.038056939709182114</x:v>
      </x:c>
      <x:c r="J214" s="29" t="n">
        <x:f>ROUND(E214-F214,1)</x:f>
        <x:v>300.8</x:v>
      </x:c>
      <x:c r="K214" s="23" t="str">
        <x:v>IC2509</x:v>
      </x:c>
    </x:row>
    <x:row r="215">
      <x:c r="A215" s="23" t="n">
        <x:v>10</x:v>
      </x:c>
      <x:c r="B215" s="23" t="str">
        <x:v>周五</x:v>
      </x:c>
      <x:c r="C215" s="23" t="str">
        <x:v>9月12日</x:v>
      </x:c>
      <x:c r="D215" s="24" t="n">
        <x:v>7109.8</x:v>
      </x:c>
      <x:c r="E215" s="24" t="n">
        <x:v>7198</x:v>
      </x:c>
      <x:c r="F215" s="24" t="n">
        <x:v>7107.6</x:v>
      </x:c>
      <x:c r="G215" s="24" t="n">
        <x:v>7140</x:v>
      </x:c>
      <x:c r="H215" s="24"/>
      <x:c r="I215" s="25" t="n">
        <x:v>0.002161524857535735</x:v>
      </x:c>
      <x:c r="J215" s="24" t="n">
        <x:f>ROUND(E215-F215,1)</x:f>
        <x:v>90.4</x:v>
      </x:c>
      <x:c r="K215" s="23" t="str">
        <x:v>IC2509</x:v>
      </x:c>
    </x:row>
    <x:row r="216">
      <x:c r="A216" s="23" t="n">
        <x:v>11</x:v>
      </x:c>
      <x:c r="B216" s="23" t="str">
        <x:v>周一</x:v>
      </x:c>
      <x:c r="C216" s="23" t="str">
        <x:v>9月15日</x:v>
      </x:c>
      <x:c r="D216" s="24" t="n">
        <x:v>7158.2</x:v>
      </x:c>
      <x:c r="E216" s="24" t="n">
        <x:v>7168.8</x:v>
      </x:c>
      <x:c r="F216" s="24" t="n">
        <x:v>7101.2</x:v>
      </x:c>
      <x:c r="G216" s="24" t="n">
        <x:v>7114.2</x:v>
      </x:c>
      <x:c r="H216" s="24"/>
      <x:c r="I216" s="25" t="n">
        <x:v>-0.028095238095238173</x:v>
      </x:c>
      <x:c r="J216" s="24" t="n">
        <x:f>ROUND(E216-F216,1)</x:f>
        <x:v>67.6</x:v>
      </x:c>
      <x:c r="K216" s="23" t="str">
        <x:v>IC2509</x:v>
      </x:c>
    </x:row>
    <x:row r="217">
      <x:c r="A217" s="23" t="n">
        <x:v>12</x:v>
      </x:c>
      <x:c r="B217" s="23" t="str">
        <x:v>周二</x:v>
      </x:c>
      <x:c r="C217" s="23" t="str">
        <x:v>9月16日</x:v>
      </x:c>
      <x:c r="D217" s="24" t="n">
        <x:v>7140</x:v>
      </x:c>
      <x:c r="E217" s="24" t="n">
        <x:v>7190.2</x:v>
      </x:c>
      <x:c r="F217" s="24" t="n">
        <x:v>7053.6</x:v>
      </x:c>
      <x:c r="G217" s="24" t="n">
        <x:v>7165.2</x:v>
      </x:c>
      <x:c r="H217" s="24"/>
      <x:c r="I217" s="25" t="n">
        <x:v>0.008271608496411842</x:v>
      </x:c>
      <x:c r="J217" s="24" t="n">
        <x:f>ROUND(E217-F217,1)</x:f>
        <x:v>136.6</x:v>
      </x:c>
      <x:c r="K217" s="23" t="str">
        <x:v>IC2509</x:v>
      </x:c>
    </x:row>
    <x:row r="218">
      <x:c r="A218" s="23" t="n">
        <x:v>13</x:v>
      </x:c>
      <x:c r="B218" s="23" t="str">
        <x:v>周三</x:v>
      </x:c>
      <x:c r="C218" s="23" t="str">
        <x:v>9月17日</x:v>
      </x:c>
      <x:c r="D218" s="24" t="n">
        <x:v>7151</x:v>
      </x:c>
      <x:c r="E218" s="24" t="n">
        <x:v>7263.4</x:v>
      </x:c>
      <x:c r="F218" s="24" t="n">
        <x:v>7128</x:v>
      </x:c>
      <x:c r="G218" s="24" t="n">
        <x:v>7252.4</x:v>
      </x:c>
      <x:c r="H218" s="24"/>
      <x:c r="I218" s="25" t="n">
        <x:v>0.012034072718957178</x:v>
      </x:c>
      <x:c r="J218" s="24" t="n">
        <x:f>ROUND(E218-F218,1)</x:f>
        <x:v>135.4</x:v>
      </x:c>
      <x:c r="K218" s="23" t="str">
        <x:v>IC2509</x:v>
      </x:c>
    </x:row>
    <x:row r="219">
      <x:c r="A219" s="23" t="n">
        <x:v>14</x:v>
      </x:c>
      <x:c r="B219" s="23" t="str">
        <x:v>周四</x:v>
      </x:c>
      <x:c r="C219" s="23" t="str">
        <x:v>9月18日</x:v>
      </x:c>
      <x:c r="D219" s="24" t="n">
        <x:v>7238.2</x:v>
      </x:c>
      <x:c r="E219" s="24" t="n">
        <x:v>7351.6</x:v>
      </x:c>
      <x:c r="F219" s="24" t="n">
        <x:v>7099.2</x:v>
      </x:c>
      <x:c r="G219" s="24" t="n">
        <x:v>7171.6</x:v>
      </x:c>
      <x:c r="H219" s="24"/>
      <x:c r="I219" s="25" t="n">
        <x:v>-0.013500917949442193</x:v>
      </x:c>
      <x:c r="J219" s="29" t="n">
        <x:f>ROUND(E219-F219,1)</x:f>
        <x:v>252.4</x:v>
      </x:c>
      <x:c r="K219" s="23" t="str">
        <x:v>IC2509</x:v>
      </x:c>
    </x:row>
    <x:row r="220">
      <x:c r="A220" s="33" t="n">
        <x:v>15</x:v>
      </x:c>
      <x:c r="B220" s="33" t="str">
        <x:v>周五</x:v>
      </x:c>
      <x:c r="C220" s="33" t="str">
        <x:v>9月19日</x:v>
      </x:c>
      <x:c r="D220" s="34" t="n">
        <x:v>7177.2</x:v>
      </x:c>
      <x:c r="E220" s="34" t="n">
        <x:v>7232.4</x:v>
      </x:c>
      <x:c r="F220" s="34" t="n">
        <x:v>7158</x:v>
      </x:c>
      <x:c r="G220" s="34" t="n">
        <x:v>7181.8</x:v>
      </x:c>
      <x:c r="H220" s="34"/>
      <x:c r="I220" s="35" t="n">
        <x:v>-0.00020041801471637477</x:v>
      </x:c>
      <x:c r="J220" s="34" t="n">
        <x:f>ROUND(E220-F220,1)</x:f>
        <x:v>74.4</x:v>
      </x:c>
      <x:c r="K220" s="33" t="str">
        <x:v>IC2509</x:v>
      </x:c>
    </x:row>
    <x:row r="221">
      <x:c r="A221" s="23" t="n">
        <x:v>16</x:v>
      </x:c>
      <x:c r="B221" s="23" t="str">
        <x:v>周一</x:v>
      </x:c>
      <x:c r="C221" s="23" t="str">
        <x:v>9月22日</x:v>
      </x:c>
      <x:c r="D221" s="24" t="n">
        <x:v>7007</x:v>
      </x:c>
      <x:c r="E221" s="24" t="n">
        <x:v>7019.8</x:v>
      </x:c>
      <x:c r="F221" s="24" t="n">
        <x:v>6925.2</x:v>
      </x:c>
      <x:c r="G221" s="24" t="n">
        <x:v>7013.2</x:v>
      </x:c>
      <x:c r="H221" s="24"/>
      <x:c r="I221" s="25" t="n">
        <x:v>0.0041809851088201455</x:v>
      </x:c>
      <x:c r="J221" s="24" t="n">
        <x:f>ROUND(E221-F221,1)</x:f>
        <x:v>94.6</x:v>
      </x:c>
      <x:c r="K221" s="23" t="str">
        <x:v>IC2512</x:v>
      </x:c>
    </x:row>
    <x:row r="222">
      <x:c r="A222" s="23" t="n">
        <x:v>17</x:v>
      </x:c>
      <x:c r="B222" s="23" t="str">
        <x:v>周二</x:v>
      </x:c>
      <x:c r="C222" s="23" t="str">
        <x:v>9月23日</x:v>
      </x:c>
      <x:c r="D222" s="24" t="n">
        <x:v>7033</x:v>
      </x:c>
      <x:c r="E222" s="24" t="n">
        <x:v>7038</x:v>
      </x:c>
      <x:c r="F222" s="24" t="n">
        <x:v>6789</x:v>
      </x:c>
      <x:c r="G222" s="24" t="n">
        <x:v>6940.6</x:v>
      </x:c>
      <x:c r="H222" s="24"/>
      <x:c r="I222" s="25" t="n">
        <x:v>-0.010351907830947304</x:v>
      </x:c>
      <x:c r="J222" s="29" t="n">
        <x:f>ROUND(E222-F222,1)</x:f>
        <x:v>249</x:v>
      </x:c>
      <x:c r="K222" s="23" t="str">
        <x:v>IC2512</x:v>
      </x:c>
    </x:row>
    <x:row r="223">
      <x:c r="A223" s="23" t="n">
        <x:v>18</x:v>
      </x:c>
      <x:c r="B223" s="23" t="str">
        <x:v>周三</x:v>
      </x:c>
      <x:c r="C223" s="23" t="str">
        <x:v>9月24日</x:v>
      </x:c>
      <x:c r="D223" s="24" t="n">
        <x:v>6910</x:v>
      </x:c>
      <x:c r="E223" s="24" t="n">
        <x:v>7162.6</x:v>
      </x:c>
      <x:c r="F223" s="24" t="n">
        <x:v>6906</x:v>
      </x:c>
      <x:c r="G223" s="24" t="n">
        <x:v>7157</x:v>
      </x:c>
      <x:c r="H223" s="24"/>
      <x:c r="I223" s="25" t="n">
        <x:v>0.031178860617237625</x:v>
      </x:c>
      <x:c r="J223" s="29" t="n">
        <x:f>ROUND(E223-F223,1)</x:f>
        <x:v>256.6</x:v>
      </x:c>
      <x:c r="K223" s="23" t="str">
        <x:v>IC2512</x:v>
      </x:c>
    </x:row>
    <x:row r="224">
      <x:c r="A224" s="23" t="n">
        <x:v>19</x:v>
      </x:c>
      <x:c r="B224" s="23" t="str">
        <x:v>周四</x:v>
      </x:c>
      <x:c r="C224" s="23" t="str">
        <x:v>9月25日</x:v>
      </x:c>
      <x:c r="D224" s="24" t="n">
        <x:v>7139</x:v>
      </x:c>
      <x:c r="E224" s="24" t="n">
        <x:v>7212.8</x:v>
      </x:c>
      <x:c r="F224" s="24" t="n">
        <x:v>7132.4</x:v>
      </x:c>
      <x:c r="G224" s="24" t="n">
        <x:v>7166.6</x:v>
      </x:c>
      <x:c r="H224" s="24"/>
      <x:c r="I224" s="25" t="n">
        <x:v>0.001341344138605649</x:v>
      </x:c>
      <x:c r="J224" s="24" t="n">
        <x:f>ROUND(E224-F224,1)</x:f>
        <x:v>80.4</x:v>
      </x:c>
      <x:c r="K224" s="23" t="str">
        <x:v>IC2512</x:v>
      </x:c>
    </x:row>
    <x:row r="225">
      <x:c r="A225" s="23" t="n">
        <x:v>20</x:v>
      </x:c>
      <x:c r="B225" s="23" t="str">
        <x:v>周五</x:v>
      </x:c>
      <x:c r="C225" s="23" t="str">
        <x:v>9月26日</x:v>
      </x:c>
      <x:c r="D225" s="24" t="n">
        <x:v>7147</x:v>
      </x:c>
      <x:c r="E225" s="24" t="n">
        <x:v>7196.6</x:v>
      </x:c>
      <x:c r="F225" s="24" t="n">
        <x:v>7080</x:v>
      </x:c>
      <x:c r="G225" s="24" t="n">
        <x:v>7080</x:v>
      </x:c>
      <x:c r="H225" s="24"/>
      <x:c r="I225" s="25" t="n">
        <x:v>-0.012083833337984573</x:v>
      </x:c>
      <x:c r="J225" s="24" t="n">
        <x:f>ROUND(E225-F225,1)</x:f>
        <x:v>116.6</x:v>
      </x:c>
      <x:c r="K225" s="23" t="str">
        <x:v>IC2512</x:v>
      </x:c>
    </x:row>
    <x:row r="226">
      <x:c r="A226" s="23" t="n">
        <x:v>21</x:v>
      </x:c>
      <x:c r="B226" s="23" t="str">
        <x:v>周一</x:v>
      </x:c>
      <x:c r="C226" s="23" t="str">
        <x:v>9月29日</x:v>
      </x:c>
      <x:c r="D226" s="24" t="n">
        <x:v>7083.8</x:v>
      </x:c>
      <x:c r="E226" s="24" t="n">
        <x:v>7266</x:v>
      </x:c>
      <x:c r="F226" s="24" t="n">
        <x:v>7058</x:v>
      </x:c>
      <x:c r="G226" s="24" t="n">
        <x:v>7232.2</x:v>
      </x:c>
      <x:c r="H226" s="24"/>
      <x:c r="I226" s="25" t="n">
        <x:v>0.02149717514124294</x:v>
      </x:c>
      <x:c r="J226" s="29" t="n">
        <x:f>ROUND(E226-F226,1)</x:f>
        <x:v>208</x:v>
      </x:c>
      <x:c r="K226" s="23" t="str">
        <x:v>IC2512</x:v>
      </x:c>
    </x:row>
    <x:row r="227">
      <x:c r="A227" s="23" t="n">
        <x:v>22</x:v>
      </x:c>
      <x:c r="B227" s="23" t="str">
        <x:v>周二</x:v>
      </x:c>
      <x:c r="C227" s="23" t="str">
        <x:v>9月30日</x:v>
      </x:c>
      <x:c r="D227" s="24" t="n">
        <x:v>7252</x:v>
      </x:c>
      <x:c r="E227" s="24" t="n">
        <x:v>7323</x:v>
      </x:c>
      <x:c r="F227" s="24" t="n">
        <x:v>7236.2</x:v>
      </x:c>
      <x:c r="G227" s="24" t="n">
        <x:v>7290.4</x:v>
      </x:c>
      <x:c r="H227" s="24"/>
      <x:c r="I227" s="25" t="n">
        <x:v>0.008047343823456288</x:v>
      </x:c>
      <x:c r="J227" s="24" t="n">
        <x:f>ROUND(E227-F227,1)</x:f>
        <x:v>86.8</x:v>
      </x:c>
      <x:c r="K227" s="23" t="str">
        <x:v>IC2512</x:v>
      </x:c>
    </x:row>
    <x:row r="228">
      <x:c r="A228" s="38" t="str">
        <x:v>合计</x:v>
      </x:c>
      <x:c r="B228" s="37" t="n">
        <x:v>22</x:v>
      </x:c>
      <x:c r="C228" s="37"/>
      <x:c r="D228" s="37"/>
      <x:c r="E228" s="37"/>
      <x:c r="F228" s="37"/>
      <x:c r="G228" s="37"/>
      <x:c r="H228" s="37"/>
      <x:c r="I228" s="37"/>
      <x:c r="J228" s="39" t="n">
        <x:f>ROUND(SUM(J206:J227),1)</x:f>
        <x:v>3546.8</x:v>
      </x:c>
      <x:c r="K228" s="37"/>
    </x:row>
    <x:row r="229">
      <x:c r="A229" s="38" t="str">
        <x:v>均值</x:v>
      </x:c>
      <x:c r="B229" s="37"/>
      <x:c r="C229" s="37"/>
      <x:c r="D229" s="37"/>
      <x:c r="E229" s="37"/>
      <x:c r="F229" s="37"/>
      <x:c r="G229" s="37"/>
      <x:c r="H229" s="37"/>
      <x:c r="I229" s="37"/>
      <x:c r="J229" s="41" t="n">
        <x:f>ROUND(IFERROR(AVERAGE(J206:J227),0),1)</x:f>
        <x:v>161.2</x:v>
      </x:c>
      <x:c r="K229" s="37"/>
    </x:row>
    <x:row r="231">
      <x:c r="A231" s="17" t="str">
        <x:v>10月</x:v>
      </x:c>
      <x:c r="B231" s="17"/>
      <x:c r="C231" s="17"/>
      <x:c r="D231" s="17"/>
      <x:c r="E231" s="17"/>
      <x:c r="F231" s="17"/>
      <x:c r="G231" s="17"/>
      <x:c r="H231" s="17"/>
      <x:c r="I231" s="17"/>
      <x:c r="J231" s="17"/>
      <x:c r="K231" s="17"/>
    </x:row>
    <x:row r="232">
      <x:c r="A232" s="20" t="str">
        <x:v>序号</x:v>
      </x:c>
      <x:c r="B232" s="20" t="str">
        <x:v>星期</x:v>
      </x:c>
      <x:c r="C232" s="20" t="str">
        <x:v>日期</x:v>
      </x:c>
      <x:c r="D232" s="20" t="str">
        <x:v>开盘</x:v>
      </x:c>
      <x:c r="E232" s="20" t="str">
        <x:v>高点</x:v>
      </x:c>
      <x:c r="F232" s="20" t="str">
        <x:v>低点</x:v>
      </x:c>
      <x:c r="G232" s="20" t="str">
        <x:v>收盘</x:v>
      </x:c>
      <x:c r="H232" s="20" t="str">
        <x:v>涨跌点数</x:v>
      </x:c>
      <x:c r="I232" s="20" t="str">
        <x:v>涨幅</x:v>
      </x:c>
      <x:c r="J232" s="20" t="str">
        <x:v>振幅</x:v>
      </x:c>
      <x:c r="K232" s="20" t="str">
        <x:v>标的</x:v>
      </x:c>
    </x:row>
    <x:row r="233">
      <x:c r="A233" s="23" t="n">
        <x:v>1</x:v>
      </x:c>
      <x:c r="B233" s="23" t="str">
        <x:v>周四</x:v>
      </x:c>
      <x:c r="C233" s="23" t="str">
        <x:v>10月9日</x:v>
      </x:c>
      <x:c r="D233" s="24" t="n">
        <x:v>7330</x:v>
      </x:c>
      <x:c r="E233" s="24" t="n">
        <x:v>7469.6</x:v>
      </x:c>
      <x:c r="F233" s="24" t="n">
        <x:v>7323.8</x:v>
      </x:c>
      <x:c r="G233" s="24" t="n">
        <x:v>7415.8</x:v>
      </x:c>
      <x:c r="H233" s="24"/>
      <x:c r="I233" s="25" t="n">
        <x:v>0.017200702293427073</x:v>
      </x:c>
      <x:c r="J233" s="24" t="n">
        <x:f>ROUND(E233-F233,1)</x:f>
        <x:v>145.8</x:v>
      </x:c>
      <x:c r="K233" s="23" t="str">
        <x:v>IC2512</x:v>
      </x:c>
    </x:row>
    <x:row r="234">
      <x:c r="A234" s="23" t="n">
        <x:v>2</x:v>
      </x:c>
      <x:c r="B234" s="23" t="str">
        <x:v>周五</x:v>
      </x:c>
      <x:c r="C234" s="23" t="str">
        <x:v>10月10日</x:v>
      </x:c>
      <x:c r="D234" s="24" t="n">
        <x:v>7398.8</x:v>
      </x:c>
      <x:c r="E234" s="24" t="n">
        <x:v>7398.8</x:v>
      </x:c>
      <x:c r="F234" s="24" t="n">
        <x:v>7252.2</x:v>
      </x:c>
      <x:c r="G234" s="24" t="n">
        <x:v>7266</x:v>
      </x:c>
      <x:c r="H234" s="24"/>
      <x:c r="I234" s="25" t="n">
        <x:v>-0.020200113271663267</x:v>
      </x:c>
      <x:c r="J234" s="24" t="n">
        <x:f>ROUND(E234-F234,1)</x:f>
        <x:v>146.6</x:v>
      </x:c>
      <x:c r="K234" s="23" t="str">
        <x:v>IC2512</x:v>
      </x:c>
    </x:row>
    <x:row r="235">
      <x:c r="A235" s="23" t="n">
        <x:v>3</x:v>
      </x:c>
      <x:c r="B235" s="23" t="str">
        <x:v>周一</x:v>
      </x:c>
      <x:c r="C235" s="23" t="str">
        <x:v>10月13日</x:v>
      </x:c>
      <x:c r="D235" s="24" t="n">
        <x:v>7100</x:v>
      </x:c>
      <x:c r="E235" s="24" t="n">
        <x:v>7251</x:v>
      </x:c>
      <x:c r="F235" s="24" t="n">
        <x:v>7075</x:v>
      </x:c>
      <x:c r="G235" s="24" t="n">
        <x:v>7231</x:v>
      </x:c>
      <x:c r="H235" s="24"/>
      <x:c r="I235" s="25" t="n">
        <x:v>-0.004816955684007751</x:v>
      </x:c>
      <x:c r="J235" s="29" t="n">
        <x:f>ROUND(E235-F235,1)</x:f>
        <x:v>176</x:v>
      </x:c>
      <x:c r="K235" s="23" t="str">
        <x:v>IC2512</x:v>
      </x:c>
    </x:row>
    <x:row r="236">
      <x:c r="A236" s="23" t="n">
        <x:v>4</x:v>
      </x:c>
      <x:c r="B236" s="23" t="str">
        <x:v>周二</x:v>
      </x:c>
      <x:c r="C236" s="23" t="str">
        <x:v>10月14日</x:v>
      </x:c>
      <x:c r="D236" s="24" t="n">
        <x:v>7252</x:v>
      </x:c>
      <x:c r="E236" s="24" t="n">
        <x:v>7317.8</x:v>
      </x:c>
      <x:c r="F236" s="24" t="n">
        <x:v>6971.8</x:v>
      </x:c>
      <x:c r="G236" s="24" t="n">
        <x:v>7010</x:v>
      </x:c>
      <x:c r="H236" s="24"/>
      <x:c r="I236" s="25" t="n">
        <x:v>-0.030562854376987914</x:v>
      </x:c>
      <x:c r="J236" s="29" t="n">
        <x:f>ROUND(E236-F236,1)</x:f>
        <x:v>346</x:v>
      </x:c>
      <x:c r="K236" s="23" t="str">
        <x:v>IC2512</x:v>
      </x:c>
    </x:row>
    <x:row r="237">
      <x:c r="A237" s="23" t="n">
        <x:v>5</x:v>
      </x:c>
      <x:c r="B237" s="23" t="str">
        <x:v>周三</x:v>
      </x:c>
      <x:c r="C237" s="23" t="str">
        <x:v>10月15日</x:v>
      </x:c>
      <x:c r="D237" s="24" t="n">
        <x:v>7068</x:v>
      </x:c>
      <x:c r="E237" s="24" t="n">
        <x:v>7166</x:v>
      </x:c>
      <x:c r="F237" s="24" t="n">
        <x:v>7008</x:v>
      </x:c>
      <x:c r="G237" s="24" t="n">
        <x:v>7140.2</x:v>
      </x:c>
      <x:c r="H237" s="24"/>
      <x:c r="I237" s="25" t="n">
        <x:v>0.018573466476462075</x:v>
      </x:c>
      <x:c r="J237" s="29" t="n">
        <x:f>ROUND(E237-F237,1)</x:f>
        <x:v>158</x:v>
      </x:c>
      <x:c r="K237" s="23" t="str">
        <x:v>IC2512</x:v>
      </x:c>
    </x:row>
    <x:row r="238">
      <x:c r="A238" s="23" t="n">
        <x:v>6</x:v>
      </x:c>
      <x:c r="B238" s="23" t="str">
        <x:v>周四</x:v>
      </x:c>
      <x:c r="C238" s="23" t="str">
        <x:v>10月16日</x:v>
      </x:c>
      <x:c r="D238" s="24" t="n">
        <x:v>7123</x:v>
      </x:c>
      <x:c r="E238" s="24" t="n">
        <x:v>7144</x:v>
      </x:c>
      <x:c r="F238" s="24" t="n">
        <x:v>7018</x:v>
      </x:c>
      <x:c r="G238" s="24" t="n">
        <x:v>7062</x:v>
      </x:c>
      <x:c r="H238" s="24"/>
      <x:c r="I238" s="25" t="n">
        <x:v>-0.01095207417159183</x:v>
      </x:c>
      <x:c r="J238" s="24" t="n">
        <x:f>ROUND(E238-F238,1)</x:f>
        <x:v>126</x:v>
      </x:c>
      <x:c r="K238" s="23" t="str">
        <x:v>IC2512</x:v>
      </x:c>
    </x:row>
    <x:row r="239">
      <x:c r="A239" s="33" t="n">
        <x:v>7</x:v>
      </x:c>
      <x:c r="B239" s="33" t="str">
        <x:v>周五</x:v>
      </x:c>
      <x:c r="C239" s="33" t="str">
        <x:v>10月17日</x:v>
      </x:c>
      <x:c r="D239" s="34" t="n">
        <x:v>7062</x:v>
      </x:c>
      <x:c r="E239" s="34" t="n">
        <x:v>7098.2</x:v>
      </x:c>
      <x:c r="F239" s="34" t="n">
        <x:v>6840</x:v>
      </x:c>
      <x:c r="G239" s="34" t="n">
        <x:v>6863.2</x:v>
      </x:c>
      <x:c r="H239" s="34"/>
      <x:c r="I239" s="35" t="n">
        <x:v>-0.028150665533843156</x:v>
      </x:c>
      <x:c r="J239" s="29" t="n">
        <x:f>ROUND(E239-F239,1)</x:f>
        <x:v>258.2</x:v>
      </x:c>
      <x:c r="K239" s="33" t="str">
        <x:v>IC2512</x:v>
      </x:c>
    </x:row>
    <x:row r="240">
      <x:c r="A240" s="23" t="n">
        <x:v>8</x:v>
      </x:c>
      <x:c r="B240" s="23" t="str">
        <x:v>周一</x:v>
      </x:c>
      <x:c r="C240" s="23" t="str">
        <x:v>10月20日</x:v>
      </x:c>
      <x:c r="D240" s="24" t="n">
        <x:v>6968.4</x:v>
      </x:c>
      <x:c r="E240" s="24" t="n">
        <x:v>6997.4</x:v>
      </x:c>
      <x:c r="F240" s="24" t="n">
        <x:v>6885</x:v>
      </x:c>
      <x:c r="G240" s="24" t="n">
        <x:v>6909.2</x:v>
      </x:c>
      <x:c r="H240" s="24"/>
      <x:c r="I240" s="25" t="n">
        <x:v>0.006702412868632601</x:v>
      </x:c>
      <x:c r="J240" s="24" t="n">
        <x:f>ROUND(E240-F240,1)</x:f>
        <x:v>112.4</x:v>
      </x:c>
      <x:c r="K240" s="23" t="str">
        <x:v>IC2512</x:v>
      </x:c>
    </x:row>
    <x:row r="241">
      <x:c r="A241" s="23" t="n">
        <x:v>9</x:v>
      </x:c>
      <x:c r="B241" s="23" t="str">
        <x:v>周二</x:v>
      </x:c>
      <x:c r="C241" s="23" t="str">
        <x:v>10月21日</x:v>
      </x:c>
      <x:c r="D241" s="24" t="n">
        <x:v>6948</x:v>
      </x:c>
      <x:c r="E241" s="24" t="n">
        <x:v>7098</x:v>
      </x:c>
      <x:c r="F241" s="24" t="n">
        <x:v>6948</x:v>
      </x:c>
      <x:c r="G241" s="24" t="n">
        <x:v>7052.8</x:v>
      </x:c>
      <x:c r="H241" s="24"/>
      <x:c r="I241" s="25" t="n">
        <x:v>0.02078388235975237</x:v>
      </x:c>
      <x:c r="J241" s="29" t="n">
        <x:f>ROUND(E241-F241,1)</x:f>
        <x:v>150</x:v>
      </x:c>
      <x:c r="K241" s="23" t="str">
        <x:v>IC2512</x:v>
      </x:c>
    </x:row>
    <x:row r="242">
      <x:c r="A242" s="23" t="n">
        <x:v>10</x:v>
      </x:c>
      <x:c r="B242" s="23" t="str">
        <x:v>周三</x:v>
      </x:c>
      <x:c r="C242" s="23" t="str">
        <x:v>10月22日</x:v>
      </x:c>
      <x:c r="D242" s="24" t="n">
        <x:v>7021.8</x:v>
      </x:c>
      <x:c r="E242" s="24" t="n">
        <x:v>7052.4</x:v>
      </x:c>
      <x:c r="F242" s="24" t="n">
        <x:v>6970</x:v>
      </x:c>
      <x:c r="G242" s="24" t="n">
        <x:v>7011.6</x:v>
      </x:c>
      <x:c r="H242" s="24"/>
      <x:c r="I242" s="25" t="n">
        <x:v>-0.005841651542649706</x:v>
      </x:c>
      <x:c r="J242" s="24" t="n">
        <x:f>ROUND(E242-F242,1)</x:f>
        <x:v>82.4</x:v>
      </x:c>
      <x:c r="K242" s="23" t="str">
        <x:v>IC2512</x:v>
      </x:c>
    </x:row>
    <x:row r="243">
      <x:c r="A243" s="23" t="n">
        <x:v>11</x:v>
      </x:c>
      <x:c r="B243" s="23" t="str">
        <x:v>周四</x:v>
      </x:c>
      <x:c r="C243" s="23" t="str">
        <x:v>10月23日</x:v>
      </x:c>
      <x:c r="D243" s="24" t="n">
        <x:v>6995</x:v>
      </x:c>
      <x:c r="E243" s="24" t="n">
        <x:v>7047.4</x:v>
      </x:c>
      <x:c r="F243" s="24" t="n">
        <x:v>6893.8</x:v>
      </x:c>
      <x:c r="G243" s="24" t="n">
        <x:v>7040</x:v>
      </x:c>
      <x:c r="H243" s="24"/>
      <x:c r="I243" s="25" t="n">
        <x:v>0.004050430714815478</x:v>
      </x:c>
      <x:c r="J243" s="29" t="n">
        <x:f>ROUND(E243-F243,1)</x:f>
        <x:v>153.6</x:v>
      </x:c>
      <x:c r="K243" s="23" t="str">
        <x:v>IC2512</x:v>
      </x:c>
    </x:row>
    <x:row r="244">
      <x:c r="A244" s="23" t="n">
        <x:v>12</x:v>
      </x:c>
      <x:c r="B244" s="23" t="str">
        <x:v>周五</x:v>
      </x:c>
      <x:c r="C244" s="23" t="str">
        <x:v>10月24日</x:v>
      </x:c>
      <x:c r="D244" s="24" t="n">
        <x:v>7078</x:v>
      </x:c>
      <x:c r="E244" s="24" t="n">
        <x:v>7159.8</x:v>
      </x:c>
      <x:c r="F244" s="24" t="n">
        <x:v>7043.6</x:v>
      </x:c>
      <x:c r="G244" s="24" t="n">
        <x:v>7159.8</x:v>
      </x:c>
      <x:c r="H244" s="24"/>
      <x:c r="I244" s="25" t="n">
        <x:v>0.01701704545454552</x:v>
      </x:c>
      <x:c r="J244" s="24" t="n">
        <x:f>ROUND(E244-F244,1)</x:f>
        <x:v>116.2</x:v>
      </x:c>
      <x:c r="K244" s="23" t="str">
        <x:v>IC2512</x:v>
      </x:c>
    </x:row>
    <x:row r="245">
      <x:c r="A245" s="23" t="n">
        <x:v>13</x:v>
      </x:c>
      <x:c r="B245" s="23" t="str">
        <x:v>周一</x:v>
      </x:c>
      <x:c r="C245" s="23" t="str">
        <x:v>10月27日</x:v>
      </x:c>
      <x:c r="D245" s="24" t="n">
        <x:v>7228.8</x:v>
      </x:c>
      <x:c r="E245" s="24" t="n">
        <x:v>7285.8</x:v>
      </x:c>
      <x:c r="F245" s="24" t="n">
        <x:v>7191</x:v>
      </x:c>
      <x:c r="G245" s="24" t="n">
        <x:v>7254.4</x:v>
      </x:c>
      <x:c r="H245" s="24"/>
      <x:c r="I245" s="25" t="n">
        <x:v>0.01321265957149631</x:v>
      </x:c>
      <x:c r="J245" s="24" t="n">
        <x:f>ROUND(E245-F245,1)</x:f>
        <x:v>94.8</x:v>
      </x:c>
      <x:c r="K245" s="23" t="str">
        <x:v>IC2512</x:v>
      </x:c>
    </x:row>
    <x:row r="246">
      <x:c r="A246" s="23" t="n">
        <x:v>14</x:v>
      </x:c>
      <x:c r="B246" s="23" t="str">
        <x:v>周二</x:v>
      </x:c>
      <x:c r="C246" s="23" t="str">
        <x:v>10月28日</x:v>
      </x:c>
      <x:c r="D246" s="24" t="n">
        <x:v>7240</x:v>
      </x:c>
      <x:c r="E246" s="24" t="n">
        <x:v>7313</x:v>
      </x:c>
      <x:c r="F246" s="24" t="n">
        <x:v>7203.6</x:v>
      </x:c>
      <x:c r="G246" s="24" t="n">
        <x:v>7231</x:v>
      </x:c>
      <x:c r="H246" s="24"/>
      <x:c r="I246" s="25" t="n">
        <x:v>-0.003225628584031748</x:v>
      </x:c>
      <x:c r="J246" s="24" t="n">
        <x:f>ROUND(E246-F246,1)</x:f>
        <x:v>109.4</x:v>
      </x:c>
      <x:c r="K246" s="23" t="str">
        <x:v>IC2512</x:v>
      </x:c>
    </x:row>
    <x:row r="247">
      <x:c r="A247" s="23" t="n">
        <x:v>15</x:v>
      </x:c>
      <x:c r="B247" s="23" t="str">
        <x:v>周三</x:v>
      </x:c>
      <x:c r="C247" s="23" t="str">
        <x:v>10月29日</x:v>
      </x:c>
      <x:c r="D247" s="24" t="n">
        <x:v>7258</x:v>
      </x:c>
      <x:c r="E247" s="24" t="n">
        <x:v>7395</x:v>
      </x:c>
      <x:c r="F247" s="24" t="n">
        <x:v>7257.6</x:v>
      </x:c>
      <x:c r="G247" s="24" t="n">
        <x:v>7390</x:v>
      </x:c>
      <x:c r="H247" s="24"/>
      <x:c r="I247" s="25" t="n">
        <x:v>0.02198865993638499</x:v>
      </x:c>
      <x:c r="J247" s="24" t="n">
        <x:f>ROUND(E247-F247,1)</x:f>
        <x:v>137.4</x:v>
      </x:c>
      <x:c r="K247" s="23" t="str">
        <x:v>IC2512</x:v>
      </x:c>
    </x:row>
    <x:row r="248">
      <x:c r="A248" s="23" t="n">
        <x:v>16</x:v>
      </x:c>
      <x:c r="B248" s="23" t="str">
        <x:v>周四</x:v>
      </x:c>
      <x:c r="C248" s="23" t="str">
        <x:v>10月30日</x:v>
      </x:c>
      <x:c r="D248" s="24" t="n">
        <x:v>7370</x:v>
      </x:c>
      <x:c r="E248" s="24" t="n">
        <x:v>7374</x:v>
      </x:c>
      <x:c r="F248" s="24" t="n">
        <x:v>7265</x:v>
      </x:c>
      <x:c r="G248" s="24" t="n">
        <x:v>7299</x:v>
      </x:c>
      <x:c r="H248" s="24"/>
      <x:c r="I248" s="25" t="n">
        <x:v>-0.012313937753721249</x:v>
      </x:c>
      <x:c r="J248" s="24" t="n">
        <x:f>ROUND(E248-F248,1)</x:f>
        <x:v>109</x:v>
      </x:c>
      <x:c r="K248" s="23" t="str">
        <x:v>IC2512</x:v>
      </x:c>
    </x:row>
    <x:row r="249">
      <x:c r="A249" s="23" t="n">
        <x:v>17</x:v>
      </x:c>
      <x:c r="B249" s="23" t="str">
        <x:v>周五</x:v>
      </x:c>
      <x:c r="C249" s="23" t="str">
        <x:v>10月31日</x:v>
      </x:c>
      <x:c r="D249" s="24" t="n">
        <x:v>7327</x:v>
      </x:c>
      <x:c r="E249" s="24" t="n">
        <x:v>7355</x:v>
      </x:c>
      <x:c r="F249" s="24" t="n">
        <x:v>7239.6</x:v>
      </x:c>
      <x:c r="G249" s="24" t="n">
        <x:v>7242.4</x:v>
      </x:c>
      <x:c r="H249" s="24"/>
      <x:c r="I249" s="25" t="n">
        <x:v>-0.00775448691601599</x:v>
      </x:c>
      <x:c r="J249" s="24" t="n">
        <x:f>ROUND(E249-F249,1)</x:f>
        <x:v>115.4</x:v>
      </x:c>
      <x:c r="K249" s="23" t="str">
        <x:v>IC2512</x:v>
      </x:c>
    </x:row>
    <x:row r="250">
      <x:c r="A250" s="38" t="str">
        <x:v>合计</x:v>
      </x:c>
      <x:c r="B250" s="37" t="n">
        <x:v>17</x:v>
      </x:c>
      <x:c r="C250" s="37"/>
      <x:c r="D250" s="37"/>
      <x:c r="E250" s="37"/>
      <x:c r="F250" s="37"/>
      <x:c r="G250" s="37"/>
      <x:c r="H250" s="37"/>
      <x:c r="I250" s="37"/>
      <x:c r="J250" s="39" t="n">
        <x:f>ROUND(SUM(J233:J249),1)</x:f>
        <x:v>2537.2</x:v>
      </x:c>
      <x:c r="K250" s="37"/>
    </x:row>
    <x:row r="251">
      <x:c r="A251" s="38" t="str">
        <x:v>均值</x:v>
      </x:c>
      <x:c r="B251" s="37"/>
      <x:c r="C251" s="37"/>
      <x:c r="D251" s="37"/>
      <x:c r="E251" s="37"/>
      <x:c r="F251" s="37"/>
      <x:c r="G251" s="37"/>
      <x:c r="H251" s="37"/>
      <x:c r="I251" s="37"/>
      <x:c r="J251" s="41" t="n">
        <x:f>ROUND(IFERROR(AVERAGE(J233:J249),0),1)</x:f>
        <x:v>149.2</x:v>
      </x:c>
      <x:c r="K251" s="37"/>
    </x:row>
    <x:row r="253">
      <x:c r="A253" s="17" t="str">
        <x:v>11月</x:v>
      </x:c>
      <x:c r="B253" s="17"/>
      <x:c r="C253" s="17"/>
      <x:c r="D253" s="17"/>
      <x:c r="E253" s="17"/>
      <x:c r="F253" s="17"/>
      <x:c r="G253" s="17"/>
      <x:c r="H253" s="17"/>
      <x:c r="I253" s="17"/>
      <x:c r="J253" s="17"/>
      <x:c r="K253" s="17"/>
    </x:row>
    <x:row r="254">
      <x:c r="A254" s="20" t="str">
        <x:v>序号</x:v>
      </x:c>
      <x:c r="B254" s="20" t="str">
        <x:v>星期</x:v>
      </x:c>
      <x:c r="C254" s="20" t="str">
        <x:v>日期</x:v>
      </x:c>
      <x:c r="D254" s="20" t="str">
        <x:v>开盘</x:v>
      </x:c>
      <x:c r="E254" s="20" t="str">
        <x:v>高点</x:v>
      </x:c>
      <x:c r="F254" s="20" t="str">
        <x:v>低点</x:v>
      </x:c>
      <x:c r="G254" s="20" t="str">
        <x:v>收盘</x:v>
      </x:c>
      <x:c r="H254" s="20" t="str">
        <x:v>涨跌点数</x:v>
      </x:c>
      <x:c r="I254" s="20" t="str">
        <x:v>涨幅</x:v>
      </x:c>
      <x:c r="J254" s="20" t="str">
        <x:v>振幅</x:v>
      </x:c>
      <x:c r="K254" s="20" t="str">
        <x:v>标的</x:v>
      </x:c>
    </x:row>
    <x:row r="255">
      <x:c r="A255" s="23" t="n">
        <x:v>1</x:v>
      </x:c>
      <x:c r="B255" s="23" t="str">
        <x:v>周一</x:v>
      </x:c>
      <x:c r="C255" s="23" t="str">
        <x:v>11月3日</x:v>
      </x:c>
      <x:c r="D255" s="24" t="n">
        <x:v>7240</x:v>
      </x:c>
      <x:c r="E255" s="24" t="n">
        <x:v>7250.8</x:v>
      </x:c>
      <x:c r="F255" s="24" t="n">
        <x:v>7108</x:v>
      </x:c>
      <x:c r="G255" s="24" t="n">
        <x:v>7239.6</x:v>
      </x:c>
      <x:c r="H255" s="24"/>
      <x:c r="I255" s="25" t="n">
        <x:v>-0.00038661217276025894</x:v>
      </x:c>
      <x:c r="J255" s="24" t="n">
        <x:f>ROUND(E255-F255,1)</x:f>
        <x:v>142.8</x:v>
      </x:c>
      <x:c r="K255" s="23" t="str">
        <x:v>IC2512</x:v>
      </x:c>
    </x:row>
    <x:row r="256">
      <x:c r="A256" s="23" t="n">
        <x:v>2</x:v>
      </x:c>
      <x:c r="B256" s="23" t="str">
        <x:v>周二</x:v>
      </x:c>
      <x:c r="C256" s="23" t="str">
        <x:v>11月4日</x:v>
      </x:c>
      <x:c r="D256" s="24" t="n">
        <x:v>7225</x:v>
      </x:c>
      <x:c r="E256" s="24" t="n">
        <x:v>7227.2</x:v>
      </x:c>
      <x:c r="F256" s="24" t="n">
        <x:v>7032.2</x:v>
      </x:c>
      <x:c r="G256" s="24" t="n">
        <x:v>7094.6</x:v>
      </x:c>
      <x:c r="H256" s="24"/>
      <x:c r="I256" s="25" t="n">
        <x:v>-0.020028730869108835</x:v>
      </x:c>
      <x:c r="J256" s="29" t="n">
        <x:f>ROUND(E256-F256,1)</x:f>
        <x:v>195</x:v>
      </x:c>
      <x:c r="K256" s="23" t="str">
        <x:v>IC2512</x:v>
      </x:c>
    </x:row>
    <x:row r="257">
      <x:c r="A257" s="23" t="n">
        <x:v>3</x:v>
      </x:c>
      <x:c r="B257" s="23" t="str">
        <x:v>周三</x:v>
      </x:c>
      <x:c r="C257" s="23" t="str">
        <x:v>11月5日</x:v>
      </x:c>
      <x:c r="D257" s="24" t="n">
        <x:v>7038</x:v>
      </x:c>
      <x:c r="E257" s="24" t="n">
        <x:v>7159</x:v>
      </x:c>
      <x:c r="F257" s="24" t="n">
        <x:v>7006</x:v>
      </x:c>
      <x:c r="G257" s="24" t="n">
        <x:v>7108</x:v>
      </x:c>
      <x:c r="H257" s="24"/>
      <x:c r="I257" s="25" t="n">
        <x:v>0.0018887604657062962</x:v>
      </x:c>
      <x:c r="J257" s="29" t="n">
        <x:f>ROUND(E257-F257,1)</x:f>
        <x:v>153</x:v>
      </x:c>
      <x:c r="K257" s="23" t="str">
        <x:v>IC2512</x:v>
      </x:c>
    </x:row>
    <x:row r="258">
      <x:c r="A258" s="23" t="n">
        <x:v>4</x:v>
      </x:c>
      <x:c r="B258" s="23" t="str">
        <x:v>周四</x:v>
      </x:c>
      <x:c r="C258" s="23" t="str">
        <x:v>11月6日</x:v>
      </x:c>
      <x:c r="D258" s="24" t="n">
        <x:v>7130</x:v>
      </x:c>
      <x:c r="E258" s="24" t="n">
        <x:v>7261.8</x:v>
      </x:c>
      <x:c r="F258" s="24" t="n">
        <x:v>7120</x:v>
      </x:c>
      <x:c r="G258" s="24" t="n">
        <x:v>7246.4</x:v>
      </x:c>
      <x:c r="H258" s="24"/>
      <x:c r="I258" s="25" t="n">
        <x:v>0.01947101857062461</x:v>
      </x:c>
      <x:c r="J258" s="24" t="n">
        <x:f>ROUND(E258-F258,1)</x:f>
        <x:v>141.8</x:v>
      </x:c>
      <x:c r="K258" s="23" t="str">
        <x:v>IC2512</x:v>
      </x:c>
    </x:row>
    <x:row r="259">
      <x:c r="A259" s="23" t="n">
        <x:v>5</x:v>
      </x:c>
      <x:c r="B259" s="23" t="str">
        <x:v>周五</x:v>
      </x:c>
      <x:c r="C259" s="23" t="str">
        <x:v>11月7日</x:v>
      </x:c>
      <x:c r="D259" s="24" t="n">
        <x:v>7211.8</x:v>
      </x:c>
      <x:c r="E259" s="24" t="n">
        <x:v>7268.8</x:v>
      </x:c>
      <x:c r="F259" s="24" t="n">
        <x:v>7172</x:v>
      </x:c>
      <x:c r="G259" s="24" t="n">
        <x:v>7230.2</x:v>
      </x:c>
      <x:c r="H259" s="24"/>
      <x:c r="I259" s="25" t="n">
        <x:v>-0.002235592846102863</x:v>
      </x:c>
      <x:c r="J259" s="24" t="n">
        <x:f>ROUND(E259-F259,1)</x:f>
        <x:v>96.8</x:v>
      </x:c>
      <x:c r="K259" s="23" t="str">
        <x:v>IC2512</x:v>
      </x:c>
    </x:row>
    <x:row r="260">
      <x:c r="A260" s="23" t="n">
        <x:v>6</x:v>
      </x:c>
      <x:c r="B260" s="23" t="str">
        <x:v>周一</x:v>
      </x:c>
      <x:c r="C260" s="23" t="str">
        <x:v>11月10日</x:v>
      </x:c>
      <x:c r="D260" s="24" t="n">
        <x:v>7260</x:v>
      </x:c>
      <x:c r="E260" s="24" t="n">
        <x:v>7301</x:v>
      </x:c>
      <x:c r="F260" s="24" t="n">
        <x:v>7176.2</x:v>
      </x:c>
      <x:c r="G260" s="24" t="n">
        <x:v>7235.8</x:v>
      </x:c>
      <x:c r="H260" s="24"/>
      <x:c r="I260" s="25" t="n">
        <x:v>0.0007745290586707032</x:v>
      </x:c>
      <x:c r="J260" s="24" t="n">
        <x:f>ROUND(E260-F260,1)</x:f>
        <x:v>124.8</x:v>
      </x:c>
      <x:c r="K260" s="23" t="str">
        <x:v>IC2512</x:v>
      </x:c>
    </x:row>
    <x:row r="261">
      <x:c r="A261" s="23" t="n">
        <x:v>7</x:v>
      </x:c>
      <x:c r="B261" s="23" t="str">
        <x:v>周二</x:v>
      </x:c>
      <x:c r="C261" s="23" t="str">
        <x:v>11月11日</x:v>
      </x:c>
      <x:c r="D261" s="24" t="n">
        <x:v>7296</x:v>
      </x:c>
      <x:c r="E261" s="24" t="n">
        <x:v>7296</x:v>
      </x:c>
      <x:c r="F261" s="24" t="n">
        <x:v>7160</x:v>
      </x:c>
      <x:c r="G261" s="24" t="n">
        <x:v>7173</x:v>
      </x:c>
      <x:c r="H261" s="24"/>
      <x:c r="I261" s="25" t="n">
        <x:v>-0.008679067967605536</x:v>
      </x:c>
      <x:c r="J261" s="24" t="n">
        <x:f>ROUND(E261-F261,1)</x:f>
        <x:v>136</x:v>
      </x:c>
      <x:c r="K261" s="23" t="str">
        <x:v>IC2512</x:v>
      </x:c>
    </x:row>
    <x:row r="262">
      <x:c r="A262" s="23" t="n">
        <x:v>8</x:v>
      </x:c>
      <x:c r="B262" s="23" t="str">
        <x:v>周三</x:v>
      </x:c>
      <x:c r="C262" s="23" t="str">
        <x:v>11月12日</x:v>
      </x:c>
      <x:c r="D262" s="24" t="n">
        <x:v>7166</x:v>
      </x:c>
      <x:c r="E262" s="24" t="n">
        <x:v>7215</x:v>
      </x:c>
      <x:c r="F262" s="24" t="n">
        <x:v>7081</x:v>
      </x:c>
      <x:c r="G262" s="24" t="n">
        <x:v>7155.2</x:v>
      </x:c>
      <x:c r="H262" s="24"/>
      <x:c r="I262" s="25" t="n">
        <x:v>-0.0024815279520423728</x:v>
      </x:c>
      <x:c r="J262" s="24" t="n">
        <x:f>ROUND(E262-F262,1)</x:f>
        <x:v>134</x:v>
      </x:c>
      <x:c r="K262" s="23" t="str">
        <x:v>IC2512</x:v>
      </x:c>
    </x:row>
    <x:row r="263">
      <x:c r="A263" s="23" t="n">
        <x:v>9</x:v>
      </x:c>
      <x:c r="B263" s="23" t="str">
        <x:v>周四</x:v>
      </x:c>
      <x:c r="C263" s="23" t="str">
        <x:v>11月13日</x:v>
      </x:c>
      <x:c r="D263" s="24" t="n">
        <x:v>7140</x:v>
      </x:c>
      <x:c r="E263" s="24" t="n">
        <x:v>7278.2</x:v>
      </x:c>
      <x:c r="F263" s="24" t="n">
        <x:v>7138</x:v>
      </x:c>
      <x:c r="G263" s="24" t="n">
        <x:v>7269</x:v>
      </x:c>
      <x:c r="H263" s="24"/>
      <x:c r="I263" s="25" t="n">
        <x:v>0.015904516994633244</x:v>
      </x:c>
      <x:c r="J263" s="24" t="n">
        <x:f>ROUND(E263-F263,1)</x:f>
        <x:v>140.2</x:v>
      </x:c>
      <x:c r="K263" s="23" t="str">
        <x:v>IC2512</x:v>
      </x:c>
    </x:row>
    <x:row r="264">
      <x:c r="A264" s="23" t="n">
        <x:v>10</x:v>
      </x:c>
      <x:c r="B264" s="23" t="str">
        <x:v>周五</x:v>
      </x:c>
      <x:c r="C264" s="23" t="str">
        <x:v>11月14日</x:v>
      </x:c>
      <x:c r="D264" s="24" t="n">
        <x:v>7218</x:v>
      </x:c>
      <x:c r="E264" s="24" t="n">
        <x:v>7240</x:v>
      </x:c>
      <x:c r="F264" s="24" t="n">
        <x:v>7136.8</x:v>
      </x:c>
      <x:c r="G264" s="24" t="n">
        <x:v>7137.4</x:v>
      </x:c>
      <x:c r="H264" s="24"/>
      <x:c r="I264" s="25" t="n">
        <x:v>-0.018104278442701904</x:v>
      </x:c>
      <x:c r="J264" s="24" t="n">
        <x:f>ROUND(E264-F264,1)</x:f>
        <x:v>103.2</x:v>
      </x:c>
      <x:c r="K264" s="23" t="str">
        <x:v>IC2512</x:v>
      </x:c>
    </x:row>
    <x:row r="265">
      <x:c r="A265" s="23" t="n">
        <x:v>11</x:v>
      </x:c>
      <x:c r="B265" s="23" t="str">
        <x:v>周一</x:v>
      </x:c>
      <x:c r="C265" s="23" t="str">
        <x:v>11月17日</x:v>
      </x:c>
      <x:c r="D265" s="24" t="n">
        <x:v>7169</x:v>
      </x:c>
      <x:c r="E265" s="24" t="n">
        <x:v>7181.8</x:v>
      </x:c>
      <x:c r="F265" s="24" t="n">
        <x:v>7107</x:v>
      </x:c>
      <x:c r="G265" s="24" t="n">
        <x:v>7143.4</x:v>
      </x:c>
      <x:c r="H265" s="24"/>
      <x:c r="I265" s="25" t="n">
        <x:v>0.0008406422506794797</x:v>
      </x:c>
      <x:c r="J265" s="24" t="n">
        <x:f>ROUND(E265-F265,1)</x:f>
        <x:v>74.8</x:v>
      </x:c>
      <x:c r="K265" s="23" t="str">
        <x:v>IC2512</x:v>
      </x:c>
    </x:row>
    <x:row r="266">
      <x:c r="A266" s="23" t="n">
        <x:v>12</x:v>
      </x:c>
      <x:c r="B266" s="23" t="str">
        <x:v>周二</x:v>
      </x:c>
      <x:c r="C266" s="23" t="str">
        <x:v>11月18日</x:v>
      </x:c>
      <x:c r="D266" s="24" t="n">
        <x:v>7107</x:v>
      </x:c>
      <x:c r="E266" s="24" t="n">
        <x:v>7139</x:v>
      </x:c>
      <x:c r="F266" s="24" t="n">
        <x:v>7028</x:v>
      </x:c>
      <x:c r="G266" s="24" t="n">
        <x:v>7079.8</x:v>
      </x:c>
      <x:c r="H266" s="24"/>
      <x:c r="I266" s="25" t="n">
        <x:v>-0.008903323347425496</x:v>
      </x:c>
      <x:c r="J266" s="24" t="n">
        <x:f>ROUND(E266-F266,1)</x:f>
        <x:v>111</x:v>
      </x:c>
      <x:c r="K266" s="23" t="str">
        <x:v>IC2512</x:v>
      </x:c>
    </x:row>
    <x:row r="267">
      <x:c r="A267" s="23" t="n">
        <x:v>13</x:v>
      </x:c>
      <x:c r="B267" s="23" t="str">
        <x:v>周三</x:v>
      </x:c>
      <x:c r="C267" s="23" t="str">
        <x:v>11月19日</x:v>
      </x:c>
      <x:c r="D267" s="24" t="n">
        <x:v>7085.4</x:v>
      </x:c>
      <x:c r="E267" s="24" t="n">
        <x:v>7113.6</x:v>
      </x:c>
      <x:c r="F267" s="24" t="n">
        <x:v>7013</x:v>
      </x:c>
      <x:c r="G267" s="24" t="n">
        <x:v>7054.8</x:v>
      </x:c>
      <x:c r="H267" s="24"/>
      <x:c r="I267" s="25" t="n">
        <x:v>-0.0035311731969829285</x:v>
      </x:c>
      <x:c r="J267" s="24" t="n">
        <x:f>ROUND(E267-F267,1)</x:f>
        <x:v>100.6</x:v>
      </x:c>
      <x:c r="K267" s="23" t="str">
        <x:v>IC2512</x:v>
      </x:c>
    </x:row>
    <x:row r="268">
      <x:c r="A268" s="23" t="n">
        <x:v>14</x:v>
      </x:c>
      <x:c r="B268" s="23" t="str">
        <x:v>周四</x:v>
      </x:c>
      <x:c r="C268" s="23" t="str">
        <x:v>11月20日</x:v>
      </x:c>
      <x:c r="D268" s="24" t="n">
        <x:v>7118.8</x:v>
      </x:c>
      <x:c r="E268" s="24" t="n">
        <x:v>7124.2</x:v>
      </x:c>
      <x:c r="F268" s="24" t="n">
        <x:v>6988.4</x:v>
      </x:c>
      <x:c r="G268" s="24" t="n">
        <x:v>7000</x:v>
      </x:c>
      <x:c r="H268" s="24"/>
      <x:c r="I268" s="25" t="n">
        <x:v>-0.007767760957078873</x:v>
      </x:c>
      <x:c r="J268" s="24" t="n">
        <x:f>ROUND(E268-F268,1)</x:f>
        <x:v>135.8</x:v>
      </x:c>
      <x:c r="K268" s="23" t="str">
        <x:v>IC2512</x:v>
      </x:c>
    </x:row>
    <x:row r="269">
      <x:c r="A269" s="33" t="n">
        <x:v>15</x:v>
      </x:c>
      <x:c r="B269" s="33" t="str">
        <x:v>周五</x:v>
      </x:c>
      <x:c r="C269" s="33" t="str">
        <x:v>11月21日</x:v>
      </x:c>
      <x:c r="D269" s="34" t="n">
        <x:v>6949</x:v>
      </x:c>
      <x:c r="E269" s="34" t="n">
        <x:v>6964.8</x:v>
      </x:c>
      <x:c r="F269" s="34" t="n">
        <x:v>6765</x:v>
      </x:c>
      <x:c r="G269" s="34" t="n">
        <x:v>6770</x:v>
      </x:c>
      <x:c r="H269" s="34"/>
      <x:c r="I269" s="35" t="n">
        <x:v>-0.03285714285714281</x:v>
      </x:c>
      <x:c r="J269" s="29" t="n">
        <x:f>ROUND(E269-F269,1)</x:f>
        <x:v>199.8</x:v>
      </x:c>
      <x:c r="K269" s="33" t="str">
        <x:v>IC2512</x:v>
      </x:c>
    </x:row>
    <x:row r="270">
      <x:c r="A270" s="23" t="n">
        <x:v>16</x:v>
      </x:c>
      <x:c r="B270" s="23" t="str">
        <x:v>周一</x:v>
      </x:c>
      <x:c r="C270" s="23" t="str">
        <x:v>11月24日</x:v>
      </x:c>
      <x:c r="D270" s="24" t="n">
        <x:v>6800</x:v>
      </x:c>
      <x:c r="E270" s="24" t="n">
        <x:v>6867.8</x:v>
      </x:c>
      <x:c r="F270" s="24" t="n">
        <x:v>6754.4</x:v>
      </x:c>
      <x:c r="G270" s="24" t="n">
        <x:v>6827.6</x:v>
      </x:c>
      <x:c r="H270" s="24"/>
      <x:c r="I270" s="25" t="n">
        <x:v>0.008508124076809453</x:v>
      </x:c>
      <x:c r="J270" s="24" t="n">
        <x:f>ROUND(E270-F270,1)</x:f>
        <x:v>113.4</x:v>
      </x:c>
      <x:c r="K270" s="23" t="str">
        <x:v>IC2512</x:v>
      </x:c>
    </x:row>
    <x:row r="271">
      <x:c r="A271" s="23" t="n">
        <x:v>17</x:v>
      </x:c>
      <x:c r="B271" s="23" t="str">
        <x:v>周二</x:v>
      </x:c>
      <x:c r="C271" s="23" t="str">
        <x:v>11月25日</x:v>
      </x:c>
      <x:c r="D271" s="24" t="n">
        <x:v>6876</x:v>
      </x:c>
      <x:c r="E271" s="24" t="n">
        <x:v>6991.8</x:v>
      </x:c>
      <x:c r="F271" s="24" t="n">
        <x:v>6873</x:v>
      </x:c>
      <x:c r="G271" s="24" t="n">
        <x:v>6900</x:v>
      </x:c>
      <x:c r="H271" s="24"/>
      <x:c r="I271" s="25" t="n">
        <x:v>0.010604018981779761</x:v>
      </x:c>
      <x:c r="J271" s="24" t="n">
        <x:f>ROUND(E271-F271,1)</x:f>
        <x:v>118.8</x:v>
      </x:c>
      <x:c r="K271" s="23" t="str">
        <x:v>IC2512</x:v>
      </x:c>
    </x:row>
    <x:row r="272">
      <x:c r="A272" s="23" t="n">
        <x:v>18</x:v>
      </x:c>
      <x:c r="B272" s="23" t="str">
        <x:v>周三</x:v>
      </x:c>
      <x:c r="C272" s="23" t="str">
        <x:v>11月26日</x:v>
      </x:c>
      <x:c r="D272" s="24" t="n">
        <x:v>6918.6</x:v>
      </x:c>
      <x:c r="E272" s="24" t="n">
        <x:v>6978</x:v>
      </x:c>
      <x:c r="F272" s="24" t="n">
        <x:v>6890</x:v>
      </x:c>
      <x:c r="G272" s="24" t="n">
        <x:v>6909.4</x:v>
      </x:c>
      <x:c r="H272" s="24"/>
      <x:c r="I272" s="25" t="n">
        <x:v>0.0013623188405795794</x:v>
      </x:c>
      <x:c r="J272" s="24" t="n">
        <x:f>ROUND(E272-F272,1)</x:f>
        <x:v>88</x:v>
      </x:c>
      <x:c r="K272" s="23" t="str">
        <x:v>IC2512</x:v>
      </x:c>
    </x:row>
    <x:row r="273">
      <x:c r="A273" s="23" t="n">
        <x:v>19</x:v>
      </x:c>
      <x:c r="B273" s="23" t="str">
        <x:v>周四</x:v>
      </x:c>
      <x:c r="C273" s="23" t="str">
        <x:v>11月27日</x:v>
      </x:c>
      <x:c r="D273" s="24" t="n">
        <x:v>6916.4</x:v>
      </x:c>
      <x:c r="E273" s="24" t="n">
        <x:v>7008.8</x:v>
      </x:c>
      <x:c r="F273" s="24" t="n">
        <x:v>6881.2</x:v>
      </x:c>
      <x:c r="G273" s="24" t="n">
        <x:v>6896.2</x:v>
      </x:c>
      <x:c r="H273" s="24"/>
      <x:c r="I273" s="25" t="n">
        <x:v>-0.0019104408486988467</x:v>
      </x:c>
      <x:c r="J273" s="24" t="n">
        <x:f>ROUND(E273-F273,1)</x:f>
        <x:v>127.6</x:v>
      </x:c>
      <x:c r="K273" s="23" t="str">
        <x:v>IC2512</x:v>
      </x:c>
    </x:row>
    <x:row r="274">
      <x:c r="A274" s="23" t="n">
        <x:v>20</x:v>
      </x:c>
      <x:c r="B274" s="23" t="str">
        <x:v>周五</x:v>
      </x:c>
      <x:c r="C274" s="23" t="str">
        <x:v>11月28日</x:v>
      </x:c>
      <x:c r="D274" s="24" t="n">
        <x:v>6901.2</x:v>
      </x:c>
      <x:c r="E274" s="24" t="n">
        <x:v>6982.6</x:v>
      </x:c>
      <x:c r="F274" s="24" t="n">
        <x:v>6887.4</x:v>
      </x:c>
      <x:c r="G274" s="24" t="n">
        <x:v>6974.2</x:v>
      </x:c>
      <x:c r="H274" s="24"/>
      <x:c r="I274" s="25" t="n">
        <x:v>0.011310576839418829</x:v>
      </x:c>
      <x:c r="J274" s="24" t="n">
        <x:f>ROUND(E274-F274,1)</x:f>
        <x:v>95.2</x:v>
      </x:c>
      <x:c r="K274" s="23" t="str">
        <x:v>IC2512</x:v>
      </x:c>
    </x:row>
    <x:row r="275">
      <x:c r="A275" s="38" t="str">
        <x:v>合计</x:v>
      </x:c>
      <x:c r="B275" s="37" t="n">
        <x:v>20</x:v>
      </x:c>
      <x:c r="C275" s="37"/>
      <x:c r="D275" s="37"/>
      <x:c r="E275" s="37"/>
      <x:c r="F275" s="37"/>
      <x:c r="G275" s="37"/>
      <x:c r="H275" s="37"/>
      <x:c r="I275" s="37"/>
      <x:c r="J275" s="39" t="n">
        <x:f>ROUND(SUM(J255:J274),1)</x:f>
        <x:v>2532.6</x:v>
      </x:c>
      <x:c r="K275" s="37"/>
    </x:row>
    <x:row r="276">
      <x:c r="A276" s="38" t="str">
        <x:v>均值</x:v>
      </x:c>
      <x:c r="B276" s="37"/>
      <x:c r="C276" s="37"/>
      <x:c r="D276" s="37"/>
      <x:c r="E276" s="37"/>
      <x:c r="F276" s="37"/>
      <x:c r="G276" s="37"/>
      <x:c r="H276" s="37"/>
      <x:c r="I276" s="37"/>
      <x:c r="J276" s="41" t="n">
        <x:f>ROUND(IFERROR(AVERAGE(J255:J274),0),1)</x:f>
        <x:v>126.6</x:v>
      </x:c>
      <x:c r="K276" s="37"/>
    </x:row>
    <x:row r="278">
      <x:c r="A278" s="17" t="str">
        <x:v>12月</x:v>
      </x:c>
      <x:c r="B278" s="17"/>
      <x:c r="C278" s="17"/>
      <x:c r="D278" s="17"/>
      <x:c r="E278" s="17"/>
      <x:c r="F278" s="17"/>
      <x:c r="G278" s="17"/>
      <x:c r="H278" s="17"/>
      <x:c r="I278" s="17"/>
      <x:c r="J278" s="17"/>
      <x:c r="K278" s="17"/>
    </x:row>
    <x:row r="279">
      <x:c r="A279" s="20" t="str">
        <x:v>序号</x:v>
      </x:c>
      <x:c r="B279" s="20" t="str">
        <x:v>星期</x:v>
      </x:c>
      <x:c r="C279" s="20" t="str">
        <x:v>日期</x:v>
      </x:c>
      <x:c r="D279" s="20" t="str">
        <x:v>开盘</x:v>
      </x:c>
      <x:c r="E279" s="20" t="str">
        <x:v>高点</x:v>
      </x:c>
      <x:c r="F279" s="20" t="str">
        <x:v>低点</x:v>
      </x:c>
      <x:c r="G279" s="20" t="str">
        <x:v>收盘</x:v>
      </x:c>
      <x:c r="H279" s="20" t="str">
        <x:v>涨跌点数</x:v>
      </x:c>
      <x:c r="I279" s="20" t="str">
        <x:v>涨幅</x:v>
      </x:c>
      <x:c r="J279" s="20" t="str">
        <x:v>振幅</x:v>
      </x:c>
      <x:c r="K279" s="20" t="str">
        <x:v>标的</x:v>
      </x:c>
    </x:row>
    <x:row r="280">
      <x:c r="A280" s="23" t="n">
        <x:v>1</x:v>
      </x:c>
      <x:c r="B280" s="23" t="str">
        <x:v>周一</x:v>
      </x:c>
      <x:c r="C280" s="23" t="str">
        <x:v>12月1日</x:v>
      </x:c>
      <x:c r="D280" s="24" t="n">
        <x:v>6998</x:v>
      </x:c>
      <x:c r="E280" s="24" t="n">
        <x:v>7049</x:v>
      </x:c>
      <x:c r="F280" s="24" t="n">
        <x:v>6977.4</x:v>
      </x:c>
      <x:c r="G280" s="24" t="n">
        <x:v>7031.6</x:v>
      </x:c>
      <x:c r="H280" s="24"/>
      <x:c r="I280" s="25" t="n">
        <x:v>0.008230334662040262</x:v>
      </x:c>
      <x:c r="J280" s="24" t="n">
        <x:f>ROUND(E280-F280,1)</x:f>
        <x:v>71.6</x:v>
      </x:c>
      <x:c r="K280" s="23" t="str">
        <x:v>IC2512</x:v>
      </x:c>
    </x:row>
    <x:row r="281">
      <x:c r="A281" s="23" t="n">
        <x:v>2</x:v>
      </x:c>
      <x:c r="B281" s="23" t="str">
        <x:v>周二</x:v>
      </x:c>
      <x:c r="C281" s="23" t="str">
        <x:v>12月2日</x:v>
      </x:c>
      <x:c r="D281" s="24" t="n">
        <x:v>7023.6</x:v>
      </x:c>
      <x:c r="E281" s="24" t="n">
        <x:v>7026.8</x:v>
      </x:c>
      <x:c r="F281" s="24" t="n">
        <x:v>6966</x:v>
      </x:c>
      <x:c r="G281" s="24" t="n">
        <x:v>6982.2</x:v>
      </x:c>
      <x:c r="H281" s="24"/>
      <x:c r="I281" s="25" t="n">
        <x:v>-0.0070254280675806635</x:v>
      </x:c>
      <x:c r="J281" s="24" t="n">
        <x:f>ROUND(E281-F281,1)</x:f>
        <x:v>60.8</x:v>
      </x:c>
      <x:c r="K281" s="23" t="str">
        <x:v>IC2512</x:v>
      </x:c>
    </x:row>
    <x:row r="282">
      <x:c r="A282" s="23" t="n">
        <x:v>3</x:v>
      </x:c>
      <x:c r="B282" s="23" t="str">
        <x:v>周三</x:v>
      </x:c>
      <x:c r="C282" s="23" t="str">
        <x:v>12月3日</x:v>
      </x:c>
      <x:c r="D282" s="24" t="n">
        <x:v>6987.2</x:v>
      </x:c>
      <x:c r="E282" s="24" t="n">
        <x:v>7018</x:v>
      </x:c>
      <x:c r="F282" s="24" t="n">
        <x:v>6925.4</x:v>
      </x:c>
      <x:c r="G282" s="24" t="n">
        <x:v>6950.4</x:v>
      </x:c>
      <x:c r="H282" s="24"/>
      <x:c r="I282" s="25" t="n">
        <x:v>-0.0045544384291483775</x:v>
      </x:c>
      <x:c r="J282" s="24" t="n">
        <x:f>ROUND(E282-F282,1)</x:f>
        <x:v>92.6</x:v>
      </x:c>
      <x:c r="K282" s="23" t="str">
        <x:v>IC2512</x:v>
      </x:c>
    </x:row>
    <x:row r="283">
      <x:c r="A283" s="23" t="n">
        <x:v>4</x:v>
      </x:c>
      <x:c r="B283" s="23" t="str">
        <x:v>周四</x:v>
      </x:c>
      <x:c r="C283" s="23" t="str">
        <x:v>12月4日</x:v>
      </x:c>
      <x:c r="D283" s="24" t="n">
        <x:v>6970</x:v>
      </x:c>
      <x:c r="E283" s="24" t="n">
        <x:v>7005.6</x:v>
      </x:c>
      <x:c r="F283" s="24" t="n">
        <x:v>6912</x:v>
      </x:c>
      <x:c r="G283" s="24" t="n">
        <x:v>6983.2</x:v>
      </x:c>
      <x:c r="H283" s="24"/>
      <x:c r="I283" s="25" t="n">
        <x:v>0.0047191528545120764</x:v>
      </x:c>
      <x:c r="J283" s="24" t="n">
        <x:f>ROUND(E283-F283,1)</x:f>
        <x:v>93.6</x:v>
      </x:c>
      <x:c r="K283" s="23" t="str">
        <x:v>IC2512</x:v>
      </x:c>
    </x:row>
    <x:row r="284">
      <x:c r="A284" s="23" t="n">
        <x:v>5</x:v>
      </x:c>
      <x:c r="B284" s="23" t="str">
        <x:v>周五</x:v>
      </x:c>
      <x:c r="C284" s="23" t="str">
        <x:v>12月5日</x:v>
      </x:c>
      <x:c r="D284" s="24" t="n">
        <x:v>6976</x:v>
      </x:c>
      <x:c r="E284" s="24" t="n">
        <x:v>7087.4</x:v>
      </x:c>
      <x:c r="F284" s="24" t="n">
        <x:v>6921.2</x:v>
      </x:c>
      <x:c r="G284" s="24" t="n">
        <x:v>7083.2</x:v>
      </x:c>
      <x:c r="H284" s="24"/>
      <x:c r="I284" s="25" t="n">
        <x:v>0.014320082483675112</x:v>
      </x:c>
      <x:c r="J284" s="29" t="n">
        <x:f>ROUND(E284-F284,1)</x:f>
        <x:v>166.2</x:v>
      </x:c>
      <x:c r="K284" s="23" t="str">
        <x:v>IC2512</x:v>
      </x:c>
    </x:row>
    <x:row r="285">
      <x:c r="A285" s="23" t="n">
        <x:v>6</x:v>
      </x:c>
      <x:c r="B285" s="23" t="str">
        <x:v>周一</x:v>
      </x:c>
      <x:c r="C285" s="23" t="str">
        <x:v>12月8日</x:v>
      </x:c>
      <x:c r="D285" s="24" t="n">
        <x:v>7096</x:v>
      </x:c>
      <x:c r="E285" s="24" t="n">
        <x:v>7173</x:v>
      </x:c>
      <x:c r="F285" s="24" t="n">
        <x:v>7096</x:v>
      </x:c>
      <x:c r="G285" s="24" t="n">
        <x:v>7144</x:v>
      </x:c>
      <x:c r="H285" s="24"/>
      <x:c r="I285" s="25" t="n">
        <x:v>0.008583690987124415</x:v>
      </x:c>
      <x:c r="J285" s="24" t="n">
        <x:f>ROUND(E285-F285,1)</x:f>
        <x:v>77</x:v>
      </x:c>
      <x:c r="K285" s="23" t="str">
        <x:v>IC2512</x:v>
      </x:c>
    </x:row>
    <x:row r="286">
      <x:c r="A286" s="23" t="n">
        <x:v>7</x:v>
      </x:c>
      <x:c r="B286" s="23" t="str">
        <x:v>周二</x:v>
      </x:c>
      <x:c r="C286" s="23" t="str">
        <x:v>12月9日</x:v>
      </x:c>
      <x:c r="D286" s="24" t="n">
        <x:v>7130</x:v>
      </x:c>
      <x:c r="E286" s="24" t="n">
        <x:v>7161.2</x:v>
      </x:c>
      <x:c r="F286" s="24" t="n">
        <x:v>7082.4</x:v>
      </x:c>
      <x:c r="G286" s="24" t="n">
        <x:v>7094.4</x:v>
      </x:c>
      <x:c r="H286" s="24"/>
      <x:c r="I286" s="25" t="n">
        <x:v>-0.006942889137737995</x:v>
      </x:c>
      <x:c r="J286" s="24" t="n">
        <x:f>ROUND(E286-F286,1)</x:f>
        <x:v>78.8</x:v>
      </x:c>
      <x:c r="K286" s="23" t="str">
        <x:v>IC2512</x:v>
      </x:c>
    </x:row>
    <x:row r="287">
      <x:c r="A287" s="23" t="n">
        <x:v>8</x:v>
      </x:c>
      <x:c r="B287" s="23" t="str">
        <x:v>周三</x:v>
      </x:c>
      <x:c r="C287" s="23" t="str">
        <x:v>12月10日</x:v>
      </x:c>
      <x:c r="D287" s="24" t="n">
        <x:v>7083</x:v>
      </x:c>
      <x:c r="E287" s="24" t="n">
        <x:v>7143.6</x:v>
      </x:c>
      <x:c r="F287" s="24" t="n">
        <x:v>7040</x:v>
      </x:c>
      <x:c r="G287" s="24" t="n">
        <x:v>7122.2</x:v>
      </x:c>
      <x:c r="H287" s="24"/>
      <x:c r="I287" s="25" t="n">
        <x:v>0.0039185836716284506</x:v>
      </x:c>
      <x:c r="J287" s="24" t="n">
        <x:f>ROUND(E287-F287,1)</x:f>
        <x:v>103.6</x:v>
      </x:c>
      <x:c r="K287" s="23" t="str">
        <x:v>IC2512</x:v>
      </x:c>
    </x:row>
    <x:row r="288">
      <x:c r="A288" s="23" t="n">
        <x:v>9</x:v>
      </x:c>
      <x:c r="B288" s="23" t="str">
        <x:v>周四</x:v>
      </x:c>
      <x:c r="C288" s="23" t="str">
        <x:v>12月11日</x:v>
      </x:c>
      <x:c r="D288" s="24" t="n">
        <x:v>7140.8</x:v>
      </x:c>
      <x:c r="E288" s="24" t="n">
        <x:v>7151.6</x:v>
      </x:c>
      <x:c r="F288" s="24" t="n">
        <x:v>7066.4</x:v>
      </x:c>
      <x:c r="G288" s="24" t="n">
        <x:v>7074.4</x:v>
      </x:c>
      <x:c r="H288" s="24"/>
      <x:c r="I288" s="25" t="n">
        <x:v>-0.006711409395973145</x:v>
      </x:c>
      <x:c r="J288" s="24" t="n">
        <x:f>ROUND(E288-F288,1)</x:f>
        <x:v>85.2</x:v>
      </x:c>
      <x:c r="K288" s="23" t="str">
        <x:v>IC2512</x:v>
      </x:c>
    </x:row>
    <x:row r="289">
      <x:c r="A289" s="23" t="n">
        <x:v>10</x:v>
      </x:c>
      <x:c r="B289" s="23" t="str">
        <x:v>周五</x:v>
      </x:c>
      <x:c r="C289" s="23" t="str">
        <x:v>12月12日</x:v>
      </x:c>
      <x:c r="D289" s="24" t="n">
        <x:v>7101</x:v>
      </x:c>
      <x:c r="E289" s="24" t="n">
        <x:v>7188.4</x:v>
      </x:c>
      <x:c r="F289" s="24" t="n">
        <x:v>7058.4</x:v>
      </x:c>
      <x:c r="G289" s="24" t="n">
        <x:v>7174</x:v>
      </x:c>
      <x:c r="H289" s="24"/>
      <x:c r="I289" s="25" t="n">
        <x:v>0.014078932488974294</x:v>
      </x:c>
      <x:c r="J289" s="24" t="n">
        <x:f>ROUND(E289-F289,1)</x:f>
        <x:v>130</x:v>
      </x:c>
      <x:c r="K289" s="23" t="str">
        <x:v>IC2512</x:v>
      </x:c>
    </x:row>
    <x:row r="290">
      <x:c r="A290" s="23" t="n">
        <x:v>11</x:v>
      </x:c>
      <x:c r="B290" s="23" t="str">
        <x:v>周一</x:v>
      </x:c>
      <x:c r="C290" s="23" t="str">
        <x:v>12月15日</x:v>
      </x:c>
      <x:c r="D290" s="24" t="n">
        <x:v>7130</x:v>
      </x:c>
      <x:c r="E290" s="24" t="n">
        <x:v>7179.8</x:v>
      </x:c>
      <x:c r="F290" s="24" t="n">
        <x:v>7110</x:v>
      </x:c>
      <x:c r="G290" s="24" t="n">
        <x:v>7115.8</x:v>
      </x:c>
      <x:c r="H290" s="24"/>
      <x:c r="I290" s="25" t="n">
        <x:v>-0.03250627265124062</x:v>
      </x:c>
      <x:c r="J290" s="24" t="n">
        <x:f>ROUND(E290-F290,1)</x:f>
        <x:v>69.8</x:v>
      </x:c>
      <x:c r="K290" s="23" t="str">
        <x:v>IC2512</x:v>
      </x:c>
    </x:row>
    <x:row r="291">
      <x:c r="A291" s="23" t="n">
        <x:v>12</x:v>
      </x:c>
      <x:c r="B291" s="23" t="str">
        <x:v>周二</x:v>
      </x:c>
      <x:c r="C291" s="23" t="str">
        <x:v>12月16日</x:v>
      </x:c>
      <x:c r="D291" s="24" t="n">
        <x:v>7096</x:v>
      </x:c>
      <x:c r="E291" s="24" t="n">
        <x:v>7103.6</x:v>
      </x:c>
      <x:c r="F291" s="24" t="n">
        <x:v>6958.6</x:v>
      </x:c>
      <x:c r="G291" s="24" t="n">
        <x:v>7010.2</x:v>
      </x:c>
      <x:c r="H291" s="24"/>
      <x:c r="I291" s="25" t="n">
        <x:v>-0.01403296449976954</x:v>
      </x:c>
      <x:c r="J291" s="24" t="n">
        <x:f>ROUND(E291-F291,1)</x:f>
        <x:v>145</x:v>
      </x:c>
      <x:c r="K291" s="23" t="str">
        <x:v>IC2512</x:v>
      </x:c>
    </x:row>
    <x:row r="292">
      <x:c r="A292" s="23" t="n">
        <x:v>13</x:v>
      </x:c>
      <x:c r="B292" s="23" t="str">
        <x:v>周三</x:v>
      </x:c>
      <x:c r="C292" s="23" t="str">
        <x:v>12月17日</x:v>
      </x:c>
      <x:c r="D292" s="24" t="n">
        <x:v>7012.6</x:v>
      </x:c>
      <x:c r="E292" s="24" t="n">
        <x:v>7178.8</x:v>
      </x:c>
      <x:c r="F292" s="24" t="n">
        <x:v>6987.6</x:v>
      </x:c>
      <x:c r="G292" s="24" t="n">
        <x:v>7146.8</x:v>
      </x:c>
      <x:c r="H292" s="24"/>
      <x:c r="I292" s="25" t="n">
        <x:v>0.02229885729315839</x:v>
      </x:c>
      <x:c r="J292" s="29" t="n">
        <x:f>ROUND(E292-F292,1)</x:f>
        <x:v>191.2</x:v>
      </x:c>
      <x:c r="K292" s="23" t="str">
        <x:v>IC2512</x:v>
      </x:c>
    </x:row>
    <x:row r="293">
      <x:c r="A293" s="23" t="n">
        <x:v>14</x:v>
      </x:c>
      <x:c r="B293" s="23" t="str">
        <x:v>周四</x:v>
      </x:c>
      <x:c r="C293" s="23" t="str">
        <x:v>12月18日</x:v>
      </x:c>
      <x:c r="D293" s="24" t="n">
        <x:v>7106</x:v>
      </x:c>
      <x:c r="E293" s="24" t="n">
        <x:v>7184.6</x:v>
      </x:c>
      <x:c r="F293" s="24" t="n">
        <x:v>7101</x:v>
      </x:c>
      <x:c r="G293" s="24" t="n">
        <x:v>7101</x:v>
      </x:c>
      <x:c r="H293" s="24"/>
      <x:c r="I293" s="25" t="n">
        <x:v>-0.0032018296169239457</x:v>
      </x:c>
      <x:c r="J293" s="24" t="n">
        <x:f>ROUND(E293-F293,1)</x:f>
        <x:v>83.6</x:v>
      </x:c>
      <x:c r="K293" s="23" t="str">
        <x:v>IC2512</x:v>
      </x:c>
    </x:row>
    <x:row r="294">
      <x:c r="A294" s="33" t="n">
        <x:v>15</x:v>
      </x:c>
      <x:c r="B294" s="33" t="str">
        <x:v>周五</x:v>
      </x:c>
      <x:c r="C294" s="33" t="str">
        <x:v>12月19日</x:v>
      </x:c>
      <x:c r="D294" s="34" t="n">
        <x:v>7130</x:v>
      </x:c>
      <x:c r="E294" s="34" t="n">
        <x:v>7199</x:v>
      </x:c>
      <x:c r="F294" s="34" t="n">
        <x:v>7115</x:v>
      </x:c>
      <x:c r="G294" s="34" t="n">
        <x:v>7170.6</x:v>
      </x:c>
      <x:c r="H294" s="34"/>
      <x:c r="I294" s="35" t="n">
        <x:v>0.011729952965469748</x:v>
      </x:c>
      <x:c r="J294" s="34" t="n">
        <x:f>ROUND(E294-F294,1)</x:f>
        <x:v>84</x:v>
      </x:c>
      <x:c r="K294" s="33" t="str">
        <x:v>IC2512</x:v>
      </x:c>
    </x:row>
    <x:row r="295">
      <x:c r="A295" s="23" t="n">
        <x:v>16</x:v>
      </x:c>
      <x:c r="B295" s="23" t="str">
        <x:v>周一</x:v>
      </x:c>
      <x:c r="C295" s="23" t="str">
        <x:v>12月22日</x:v>
      </x:c>
      <x:c r="D295" s="24" t="n">
        <x:v>7100</x:v>
      </x:c>
      <x:c r="E295" s="24" t="n">
        <x:v>7170</x:v>
      </x:c>
      <x:c r="F295" s="24" t="n">
        <x:v>7088.6</x:v>
      </x:c>
      <x:c r="G295" s="24" t="n">
        <x:v>7123.2</x:v>
      </x:c>
      <x:c r="H295" s="24"/>
      <x:c r="I295" s="25" t="n">
        <x:v>0.009609660685432564</x:v>
      </x:c>
      <x:c r="J295" s="24" t="n">
        <x:f>ROUND(E295-F295,1)</x:f>
        <x:v>81.4</x:v>
      </x:c>
      <x:c r="K295" s="23" t="str">
        <x:v>IC2603</x:v>
      </x:c>
    </x:row>
    <x:row r="296">
      <x:c r="A296" s="23" t="n">
        <x:v>17</x:v>
      </x:c>
      <x:c r="B296" s="23" t="str">
        <x:v>周二</x:v>
      </x:c>
      <x:c r="C296" s="23" t="str">
        <x:v>12月23日</x:v>
      </x:c>
      <x:c r="D296" s="24" t="n">
        <x:v>7121</x:v>
      </x:c>
      <x:c r="E296" s="24" t="n">
        <x:v>7178.6</x:v>
      </x:c>
      <x:c r="F296" s="24" t="n">
        <x:v>7108</x:v>
      </x:c>
      <x:c r="G296" s="24" t="n">
        <x:v>7133.2</x:v>
      </x:c>
      <x:c r="H296" s="24"/>
      <x:c r="I296" s="25" t="n">
        <x:v>0.0014038634321653642</x:v>
      </x:c>
      <x:c r="J296" s="24" t="n">
        <x:f>ROUND(E296-F296,1)</x:f>
        <x:v>70.6</x:v>
      </x:c>
      <x:c r="K296" s="23" t="str">
        <x:v>IC2603</x:v>
      </x:c>
    </x:row>
    <x:row r="297">
      <x:c r="A297" s="23" t="n">
        <x:v>18</x:v>
      </x:c>
      <x:c r="B297" s="23" t="str">
        <x:v>周三</x:v>
      </x:c>
      <x:c r="C297" s="23" t="str">
        <x:v>12月24日</x:v>
      </x:c>
      <x:c r="D297" s="24" t="n">
        <x:v>7142.6</x:v>
      </x:c>
      <x:c r="E297" s="24" t="n">
        <x:v>7271.6</x:v>
      </x:c>
      <x:c r="F297" s="24" t="n">
        <x:v>7128.8</x:v>
      </x:c>
      <x:c r="G297" s="24" t="n">
        <x:v>7240.4</x:v>
      </x:c>
      <x:c r="H297" s="24"/>
      <x:c r="I297" s="25" t="n">
        <x:v>0.015028318286323117</x:v>
      </x:c>
      <x:c r="J297" s="24" t="n">
        <x:f>ROUND(E297-F297,1)</x:f>
        <x:v>142.8</x:v>
      </x:c>
      <x:c r="K297" s="23" t="str">
        <x:v>IC2603</x:v>
      </x:c>
    </x:row>
    <x:row r="298">
      <x:c r="A298" s="23" t="n">
        <x:v>19</x:v>
      </x:c>
      <x:c r="B298" s="23" t="str">
        <x:v>周四</x:v>
      </x:c>
      <x:c r="C298" s="23" t="str">
        <x:v>12月25日</x:v>
      </x:c>
      <x:c r="D298" s="24" t="n">
        <x:v>7240</x:v>
      </x:c>
      <x:c r="E298" s="24" t="n">
        <x:v>7344</x:v>
      </x:c>
      <x:c r="F298" s="24" t="n">
        <x:v>7219.8</x:v>
      </x:c>
      <x:c r="G298" s="24" t="n">
        <x:v>7320.6</x:v>
      </x:c>
      <x:c r="H298" s="24"/>
      <x:c r="I298" s="25" t="n">
        <x:v>0.01107673609192883</x:v>
      </x:c>
      <x:c r="J298" s="24" t="n">
        <x:f>ROUND(E298-F298,1)</x:f>
        <x:v>124.2</x:v>
      </x:c>
      <x:c r="K298" s="23" t="str">
        <x:v>IC2603</x:v>
      </x:c>
    </x:row>
    <x:row r="299">
      <x:c r="A299" s="23" t="n">
        <x:v>20</x:v>
      </x:c>
      <x:c r="B299" s="23" t="str">
        <x:v>周五</x:v>
      </x:c>
      <x:c r="C299" s="23" t="str">
        <x:v>12月26日</x:v>
      </x:c>
      <x:c r="D299" s="24" t="n">
        <x:v>7330.2</x:v>
      </x:c>
      <x:c r="E299" s="24" t="n">
        <x:v>7431.2</x:v>
      </x:c>
      <x:c r="F299" s="24" t="n">
        <x:v>7330</x:v>
      </x:c>
      <x:c r="G299" s="24" t="n">
        <x:v>7388</x:v>
      </x:c>
      <x:c r="H299" s="24"/>
      <x:c r="I299" s="25" t="n">
        <x:v>0.00920689560964938</x:v>
      </x:c>
      <x:c r="J299" s="24" t="n">
        <x:f>ROUND(E299-F299,1)</x:f>
        <x:v>101.2</x:v>
      </x:c>
      <x:c r="K299" s="23" t="str">
        <x:v>IC2603</x:v>
      </x:c>
    </x:row>
    <x:row r="300">
      <x:c r="A300" s="23" t="n">
        <x:v>21</x:v>
      </x:c>
      <x:c r="B300" s="23" t="str">
        <x:v>周一</x:v>
      </x:c>
      <x:c r="C300" s="23" t="str">
        <x:v>12月29日</x:v>
      </x:c>
      <x:c r="D300" s="24" t="n">
        <x:v>7386.2</x:v>
      </x:c>
      <x:c r="E300" s="24" t="n">
        <x:v>7414.6</x:v>
      </x:c>
      <x:c r="F300" s="24" t="n">
        <x:v>7318</x:v>
      </x:c>
      <x:c r="G300" s="24" t="n">
        <x:v>7336.6</x:v>
      </x:c>
      <x:c r="H300" s="24"/>
      <x:c r="I300" s="25" t="n">
        <x:v>-0.006957227937195443</x:v>
      </x:c>
      <x:c r="J300" s="24" t="n">
        <x:f>ROUND(E300-F300,1)</x:f>
        <x:v>96.6</x:v>
      </x:c>
      <x:c r="K300" s="23" t="str">
        <x:v>IC2603</x:v>
      </x:c>
    </x:row>
    <x:row r="301">
      <x:c r="A301" s="23" t="n">
        <x:v>22</x:v>
      </x:c>
      <x:c r="B301" s="23" t="str">
        <x:v>周二</x:v>
      </x:c>
      <x:c r="C301" s="23" t="str">
        <x:v>12月30日</x:v>
      </x:c>
      <x:c r="D301" s="24" t="n">
        <x:v>7317.2</x:v>
      </x:c>
      <x:c r="E301" s="24" t="n">
        <x:v>7425.2</x:v>
      </x:c>
      <x:c r="F301" s="24" t="n">
        <x:v>7308.8</x:v>
      </x:c>
      <x:c r="G301" s="24" t="n">
        <x:v>7381</x:v>
      </x:c>
      <x:c r="H301" s="24"/>
      <x:c r="I301" s="25" t="n">
        <x:v>0.0060518496306189995</x:v>
      </x:c>
      <x:c r="J301" s="24" t="n">
        <x:f>ROUND(E301-F301,1)</x:f>
        <x:v>116.4</x:v>
      </x:c>
      <x:c r="K301" s="23" t="str">
        <x:v>IC2603</x:v>
      </x:c>
    </x:row>
    <x:row r="302">
      <x:c r="A302" s="23" t="n">
        <x:v>23</x:v>
      </x:c>
      <x:c r="B302" s="23" t="str">
        <x:v>周三</x:v>
      </x:c>
      <x:c r="C302" s="23" t="str">
        <x:v>12月31日</x:v>
      </x:c>
      <x:c r="D302" s="24" t="n">
        <x:v>7393</x:v>
      </x:c>
      <x:c r="E302" s="24" t="n">
        <x:v>7400.2</x:v>
      </x:c>
      <x:c r="F302" s="24" t="n">
        <x:v>7335</x:v>
      </x:c>
      <x:c r="G302" s="24" t="n">
        <x:v>7362.8</x:v>
      </x:c>
      <x:c r="H302" s="24"/>
      <x:c r="I302" s="25" t="n">
        <x:v>-0.002465790543286772</x:v>
      </x:c>
      <x:c r="J302" s="24" t="n">
        <x:f>ROUND(E302-F302,1)</x:f>
        <x:v>65.2</x:v>
      </x:c>
      <x:c r="K302" s="23" t="str">
        <x:v>IC2603</x:v>
      </x:c>
    </x:row>
    <x:row r="303">
      <x:c r="A303" s="38" t="str">
        <x:v>合计</x:v>
      </x:c>
      <x:c r="B303" s="37" t="n">
        <x:v>23</x:v>
      </x:c>
      <x:c r="C303" s="37"/>
      <x:c r="D303" s="37"/>
      <x:c r="E303" s="37"/>
      <x:c r="F303" s="37"/>
      <x:c r="G303" s="37"/>
      <x:c r="H303" s="37"/>
      <x:c r="I303" s="37"/>
      <x:c r="J303" s="39" t="n">
        <x:f>ROUND(SUM(J280:J302),1)</x:f>
        <x:v>2331.4</x:v>
      </x:c>
      <x:c r="K303" s="37"/>
    </x:row>
    <x:row r="304">
      <x:c r="A304" s="38" t="str">
        <x:v>均值</x:v>
      </x:c>
      <x:c r="B304" s="37"/>
      <x:c r="C304" s="37"/>
      <x:c r="D304" s="37"/>
      <x:c r="E304" s="37"/>
      <x:c r="F304" s="37"/>
      <x:c r="G304" s="37"/>
      <x:c r="H304" s="37"/>
      <x:c r="I304" s="37"/>
      <x:c r="J304" s="41" t="n">
        <x:f>ROUND(IFERROR(AVERAGE(J280:J302),0),1)</x:f>
        <x:v>101.4</x:v>
      </x:c>
      <x:c r="K304" s="37"/>
    </x:row>
  </x:sheetData>
  <x:mergeCells>
    <x:mergeCell ref="A1:K1"/>
    <x:mergeCell ref="A3:K3"/>
    <x:mergeCell ref="A26:K26"/>
    <x:mergeCell ref="A49:K49"/>
    <x:mergeCell ref="A75:K75"/>
    <x:mergeCell ref="A101:K101"/>
    <x:mergeCell ref="A125:K125"/>
    <x:mergeCell ref="A150:K150"/>
    <x:mergeCell ref="A178:K178"/>
    <x:mergeCell ref="A204:K204"/>
    <x:mergeCell ref="A231:K231"/>
    <x:mergeCell ref="A253:K253"/>
    <x:mergeCell ref="A278:K278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4" hidden="0" customWidth="1"/>
  </x:cols>
  <x:sheetData>
    <x:row r="1" ht="38" customHeight="1">
      <x:c r="A1" s="15" t="str">
        <x:v>2025年统计 - IF主力</x:v>
      </x:c>
    </x:row>
    <x:row r="3">
      <x:c r="A3" s="17" t="str">
        <x:v>1月</x:v>
      </x:c>
      <x:c r="B3" s="17"/>
      <x:c r="C3" s="17"/>
      <x:c r="D3" s="17"/>
      <x:c r="E3" s="17"/>
      <x:c r="F3" s="17"/>
      <x:c r="G3" s="17"/>
      <x:c r="H3" s="17"/>
      <x:c r="I3" s="17"/>
      <x:c r="J3" s="17"/>
      <x:c r="K3" s="17"/>
    </x:row>
    <x:row r="4">
      <x:c r="A4" s="20" t="str">
        <x:v>序号</x:v>
      </x:c>
      <x:c r="B4" s="20" t="str">
        <x:v>星期</x:v>
      </x:c>
      <x:c r="C4" s="20" t="str">
        <x:v>日期</x:v>
      </x:c>
      <x:c r="D4" s="20" t="str">
        <x:v>开盘</x:v>
      </x:c>
      <x:c r="E4" s="20" t="str">
        <x:v>高点</x:v>
      </x:c>
      <x:c r="F4" s="20" t="str">
        <x:v>低点</x:v>
      </x:c>
      <x:c r="G4" s="20" t="str">
        <x:v>收盘</x:v>
      </x:c>
      <x:c r="H4" s="20" t="str">
        <x:v>涨跌点数</x:v>
      </x:c>
      <x:c r="I4" s="20" t="str">
        <x:v>涨幅</x:v>
      </x:c>
      <x:c r="J4" s="20" t="str">
        <x:v>振幅</x:v>
      </x:c>
      <x:c r="K4" s="20" t="str">
        <x:v>标的</x:v>
      </x:c>
    </x:row>
    <x:row r="5">
      <x:c r="A5" s="23" t="n">
        <x:v>1</x:v>
      </x:c>
      <x:c r="B5" s="23" t="str">
        <x:v>周四</x:v>
      </x:c>
      <x:c r="C5" s="23" t="str">
        <x:v>1月2日</x:v>
      </x:c>
      <x:c r="D5" s="24" t="n">
        <x:v>3921</x:v>
      </x:c>
      <x:c r="E5" s="24" t="n">
        <x:v>3931</x:v>
      </x:c>
      <x:c r="F5" s="24" t="n">
        <x:v>3784.4</x:v>
      </x:c>
      <x:c r="G5" s="24" t="n">
        <x:v>3817.8</x:v>
      </x:c>
      <x:c r="H5" s="24"/>
      <x:c r="I5" s="25" t="n">
        <x:v>-0.026319816373374105</x:v>
      </x:c>
      <x:c r="J5" s="29" t="n">
        <x:f>ROUND(E5-F5,1)</x:f>
        <x:v>146.6</x:v>
      </x:c>
      <x:c r="K5" s="23" t="str">
        <x:v>IF2503</x:v>
      </x:c>
    </x:row>
    <x:row r="6">
      <x:c r="A6" s="23" t="n">
        <x:v>2</x:v>
      </x:c>
      <x:c r="B6" s="23" t="str">
        <x:v>周五</x:v>
      </x:c>
      <x:c r="C6" s="23" t="str">
        <x:v>1月3日</x:v>
      </x:c>
      <x:c r="D6" s="24" t="n">
        <x:v>3826</x:v>
      </x:c>
      <x:c r="E6" s="24" t="n">
        <x:v>3834</x:v>
      </x:c>
      <x:c r="F6" s="24" t="n">
        <x:v>3758</x:v>
      </x:c>
      <x:c r="G6" s="24" t="n">
        <x:v>3779</x:v>
      </x:c>
      <x:c r="H6" s="24"/>
      <x:c r="I6" s="25" t="n">
        <x:v>-0.010162921054010177</x:v>
      </x:c>
      <x:c r="J6" s="24" t="n">
        <x:f>ROUND(E6-F6,1)</x:f>
        <x:v>76</x:v>
      </x:c>
      <x:c r="K6" s="23" t="str">
        <x:v>IF2503</x:v>
      </x:c>
    </x:row>
    <x:row r="7">
      <x:c r="A7" s="23" t="n">
        <x:v>3</x:v>
      </x:c>
      <x:c r="B7" s="23" t="str">
        <x:v>周一</x:v>
      </x:c>
      <x:c r="C7" s="23" t="str">
        <x:v>1月6日</x:v>
      </x:c>
      <x:c r="D7" s="24" t="n">
        <x:v>3780.2</x:v>
      </x:c>
      <x:c r="E7" s="24" t="n">
        <x:v>3785.4</x:v>
      </x:c>
      <x:c r="F7" s="24" t="n">
        <x:v>3740.8</x:v>
      </x:c>
      <x:c r="G7" s="24" t="n">
        <x:v>3762</x:v>
      </x:c>
      <x:c r="H7" s="24"/>
      <x:c r="I7" s="25" t="n">
        <x:v>-0.004498544588515507</x:v>
      </x:c>
      <x:c r="J7" s="24" t="n">
        <x:f>ROUND(E7-F7,1)</x:f>
        <x:v>44.6</x:v>
      </x:c>
      <x:c r="K7" s="23" t="str">
        <x:v>IF2503</x:v>
      </x:c>
    </x:row>
    <x:row r="8">
      <x:c r="A8" s="23" t="n">
        <x:v>4</x:v>
      </x:c>
      <x:c r="B8" s="23" t="str">
        <x:v>周二</x:v>
      </x:c>
      <x:c r="C8" s="23" t="str">
        <x:v>1月7日</x:v>
      </x:c>
      <x:c r="D8" s="24" t="n">
        <x:v>3757</x:v>
      </x:c>
      <x:c r="E8" s="24" t="n">
        <x:v>3793.4</x:v>
      </x:c>
      <x:c r="F8" s="24" t="n">
        <x:v>3750</x:v>
      </x:c>
      <x:c r="G8" s="24" t="n">
        <x:v>3789.6</x:v>
      </x:c>
      <x:c r="H8" s="24"/>
      <x:c r="I8" s="25" t="n">
        <x:v>0.007336523125996752</x:v>
      </x:c>
      <x:c r="J8" s="24" t="n">
        <x:f>ROUND(E8-F8,1)</x:f>
        <x:v>43.4</x:v>
      </x:c>
      <x:c r="K8" s="23" t="str">
        <x:v>IF2503</x:v>
      </x:c>
    </x:row>
    <x:row r="9">
      <x:c r="A9" s="23" t="n">
        <x:v>5</x:v>
      </x:c>
      <x:c r="B9" s="23" t="str">
        <x:v>周三</x:v>
      </x:c>
      <x:c r="C9" s="23" t="str">
        <x:v>1月8日</x:v>
      </x:c>
      <x:c r="D9" s="24" t="n">
        <x:v>3780</x:v>
      </x:c>
      <x:c r="E9" s="24" t="n">
        <x:v>3810</x:v>
      </x:c>
      <x:c r="F9" s="24" t="n">
        <x:v>3720.6</x:v>
      </x:c>
      <x:c r="G9" s="24" t="n">
        <x:v>3781.2</x:v>
      </x:c>
      <x:c r="H9" s="24"/>
      <x:c r="I9" s="25" t="n">
        <x:v>-0.002216592780240667</x:v>
      </x:c>
      <x:c r="J9" s="24" t="n">
        <x:f>ROUND(E9-F9,1)</x:f>
        <x:v>89.4</x:v>
      </x:c>
      <x:c r="K9" s="23" t="str">
        <x:v>IF2503</x:v>
      </x:c>
    </x:row>
    <x:row r="10">
      <x:c r="A10" s="23" t="n">
        <x:v>6</x:v>
      </x:c>
      <x:c r="B10" s="23" t="str">
        <x:v>周四</x:v>
      </x:c>
      <x:c r="C10" s="23" t="str">
        <x:v>1月9日</x:v>
      </x:c>
      <x:c r="D10" s="24" t="n">
        <x:v>3773</x:v>
      </x:c>
      <x:c r="E10" s="24" t="n">
        <x:v>3790</x:v>
      </x:c>
      <x:c r="F10" s="24" t="n">
        <x:v>3762.4</x:v>
      </x:c>
      <x:c r="G10" s="24" t="n">
        <x:v>3772.2</x:v>
      </x:c>
      <x:c r="H10" s="24"/>
      <x:c r="I10" s="25" t="n">
        <x:v>-0.0023801967629324405</x:v>
      </x:c>
      <x:c r="J10" s="24" t="n">
        <x:f>ROUND(E10-F10,1)</x:f>
        <x:v>27.6</x:v>
      </x:c>
      <x:c r="K10" s="23" t="str">
        <x:v>IF2503</x:v>
      </x:c>
    </x:row>
    <x:row r="11">
      <x:c r="A11" s="23" t="n">
        <x:v>7</x:v>
      </x:c>
      <x:c r="B11" s="23" t="str">
        <x:v>周五</x:v>
      </x:c>
      <x:c r="C11" s="23" t="str">
        <x:v>1月10日</x:v>
      </x:c>
      <x:c r="D11" s="24" t="n">
        <x:v>3778</x:v>
      </x:c>
      <x:c r="E11" s="24" t="n">
        <x:v>3785.8</x:v>
      </x:c>
      <x:c r="F11" s="24" t="n">
        <x:v>3727.4</x:v>
      </x:c>
      <x:c r="G11" s="24" t="n">
        <x:v>3728</x:v>
      </x:c>
      <x:c r="H11" s="24"/>
      <x:c r="I11" s="25" t="n">
        <x:v>-0.011717300249191376</x:v>
      </x:c>
      <x:c r="J11" s="24" t="n">
        <x:f>ROUND(E11-F11,1)</x:f>
        <x:v>58.4</x:v>
      </x:c>
      <x:c r="K11" s="23" t="str">
        <x:v>IF2503</x:v>
      </x:c>
    </x:row>
    <x:row r="12">
      <x:c r="A12" s="23" t="n">
        <x:v>8</x:v>
      </x:c>
      <x:c r="B12" s="23" t="str">
        <x:v>周一</x:v>
      </x:c>
      <x:c r="C12" s="23" t="str">
        <x:v>1月13日</x:v>
      </x:c>
      <x:c r="D12" s="24" t="n">
        <x:v>3710</x:v>
      </x:c>
      <x:c r="E12" s="24" t="n">
        <x:v>3739.2</x:v>
      </x:c>
      <x:c r="F12" s="24" t="n">
        <x:v>3702</x:v>
      </x:c>
      <x:c r="G12" s="24" t="n">
        <x:v>3724</x:v>
      </x:c>
      <x:c r="H12" s="24"/>
      <x:c r="I12" s="25" t="n">
        <x:v>-0.0010729613733905241</x:v>
      </x:c>
      <x:c r="J12" s="24" t="n">
        <x:f>ROUND(E12-F12,1)</x:f>
        <x:v>37.2</x:v>
      </x:c>
      <x:c r="K12" s="23" t="str">
        <x:v>IF2503</x:v>
      </x:c>
    </x:row>
    <x:row r="13">
      <x:c r="A13" s="23" t="n">
        <x:v>9</x:v>
      </x:c>
      <x:c r="B13" s="23" t="str">
        <x:v>周二</x:v>
      </x:c>
      <x:c r="C13" s="23" t="str">
        <x:v>1月14日</x:v>
      </x:c>
      <x:c r="D13" s="24" t="n">
        <x:v>3732.8</x:v>
      </x:c>
      <x:c r="E13" s="24" t="n">
        <x:v>3834.8</x:v>
      </x:c>
      <x:c r="F13" s="24" t="n">
        <x:v>3721.2</x:v>
      </x:c>
      <x:c r="G13" s="24" t="n">
        <x:v>3816.8</x:v>
      </x:c>
      <x:c r="H13" s="24"/>
      <x:c r="I13" s="25" t="n">
        <x:v>0.024919441460794944</x:v>
      </x:c>
      <x:c r="J13" s="29" t="n">
        <x:f>ROUND(E13-F13,1)</x:f>
        <x:v>113.6</x:v>
      </x:c>
      <x:c r="K13" s="23" t="str">
        <x:v>IF2503</x:v>
      </x:c>
    </x:row>
    <x:row r="14">
      <x:c r="A14" s="23" t="n">
        <x:v>10</x:v>
      </x:c>
      <x:c r="B14" s="23" t="str">
        <x:v>周三</x:v>
      </x:c>
      <x:c r="C14" s="23" t="str">
        <x:v>1月15日</x:v>
      </x:c>
      <x:c r="D14" s="24" t="n">
        <x:v>3806.4</x:v>
      </x:c>
      <x:c r="E14" s="24" t="n">
        <x:v>3815</x:v>
      </x:c>
      <x:c r="F14" s="24" t="n">
        <x:v>3786</x:v>
      </x:c>
      <x:c r="G14" s="24" t="n">
        <x:v>3794.6</x:v>
      </x:c>
      <x:c r="H14" s="24"/>
      <x:c r="I14" s="25" t="n">
        <x:v>-0.005816390693774931</x:v>
      </x:c>
      <x:c r="J14" s="24" t="n">
        <x:f>ROUND(E14-F14,1)</x:f>
        <x:v>29</x:v>
      </x:c>
      <x:c r="K14" s="23" t="str">
        <x:v>IF2503</x:v>
      </x:c>
    </x:row>
    <x:row r="15">
      <x:c r="A15" s="23" t="n">
        <x:v>11</x:v>
      </x:c>
      <x:c r="B15" s="23" t="str">
        <x:v>周四</x:v>
      </x:c>
      <x:c r="C15" s="23" t="str">
        <x:v>1月16日</x:v>
      </x:c>
      <x:c r="D15" s="24" t="n">
        <x:v>3807.6</x:v>
      </x:c>
      <x:c r="E15" s="24" t="n">
        <x:v>3849.6</x:v>
      </x:c>
      <x:c r="F15" s="24" t="n">
        <x:v>3771</x:v>
      </x:c>
      <x:c r="G15" s="24" t="n">
        <x:v>3792.2</x:v>
      </x:c>
      <x:c r="H15" s="24"/>
      <x:c r="I15" s="25" t="n">
        <x:v>-0.0006324777315132035</x:v>
      </x:c>
      <x:c r="J15" s="24" t="n">
        <x:f>ROUND(E15-F15,1)</x:f>
        <x:v>78.6</x:v>
      </x:c>
      <x:c r="K15" s="23" t="str">
        <x:v>IF2503</x:v>
      </x:c>
    </x:row>
    <x:row r="16">
      <x:c r="A16" s="33" t="n">
        <x:v>12</x:v>
      </x:c>
      <x:c r="B16" s="33" t="str">
        <x:v>周五</x:v>
      </x:c>
      <x:c r="C16" s="33" t="str">
        <x:v>1月17日</x:v>
      </x:c>
      <x:c r="D16" s="34" t="n">
        <x:v>3784.4</x:v>
      </x:c>
      <x:c r="E16" s="34" t="n">
        <x:v>3835</x:v>
      </x:c>
      <x:c r="F16" s="34" t="n">
        <x:v>3776.6</x:v>
      </x:c>
      <x:c r="G16" s="34" t="n">
        <x:v>3807.2</x:v>
      </x:c>
      <x:c r="H16" s="34"/>
      <x:c r="I16" s="35" t="n">
        <x:v>0.003955487579768935</x:v>
      </x:c>
      <x:c r="J16" s="34" t="n">
        <x:f>ROUND(E16-F16,1)</x:f>
        <x:v>58.4</x:v>
      </x:c>
      <x:c r="K16" s="33" t="str">
        <x:v>IF2503</x:v>
      </x:c>
    </x:row>
    <x:row r="17">
      <x:c r="A17" s="23" t="n">
        <x:v>13</x:v>
      </x:c>
      <x:c r="B17" s="23" t="str">
        <x:v>周一</x:v>
      </x:c>
      <x:c r="C17" s="23" t="str">
        <x:v>1月20日</x:v>
      </x:c>
      <x:c r="D17" s="24" t="n">
        <x:v>3832</x:v>
      </x:c>
      <x:c r="E17" s="24" t="n">
        <x:v>3863.6</x:v>
      </x:c>
      <x:c r="F17" s="24" t="n">
        <x:v>3818.6</x:v>
      </x:c>
      <x:c r="G17" s="24" t="n">
        <x:v>3827</x:v>
      </x:c>
      <x:c r="H17" s="24"/>
      <x:c r="I17" s="25" t="n">
        <x:v>0.005200672410170304</x:v>
      </x:c>
      <x:c r="J17" s="24" t="n">
        <x:f>ROUND(E17-F17,1)</x:f>
        <x:v>45</x:v>
      </x:c>
      <x:c r="K17" s="23" t="str">
        <x:v>IF2503</x:v>
      </x:c>
    </x:row>
    <x:row r="18">
      <x:c r="A18" s="23" t="n">
        <x:v>14</x:v>
      </x:c>
      <x:c r="B18" s="23" t="str">
        <x:v>周二</x:v>
      </x:c>
      <x:c r="C18" s="23" t="str">
        <x:v>1月21日</x:v>
      </x:c>
      <x:c r="D18" s="24" t="n">
        <x:v>3850.4</x:v>
      </x:c>
      <x:c r="E18" s="24" t="n">
        <x:v>3854</x:v>
      </x:c>
      <x:c r="F18" s="24" t="n">
        <x:v>3816</x:v>
      </x:c>
      <x:c r="G18" s="24" t="n">
        <x:v>3831.6</x:v>
      </x:c>
      <x:c r="H18" s="24"/>
      <x:c r="I18" s="25" t="n">
        <x:v>0.00120198588973075</x:v>
      </x:c>
      <x:c r="J18" s="24" t="n">
        <x:f>ROUND(E18-F18,1)</x:f>
        <x:v>38</x:v>
      </x:c>
      <x:c r="K18" s="23" t="str">
        <x:v>IF2503</x:v>
      </x:c>
    </x:row>
    <x:row r="19">
      <x:c r="A19" s="23" t="n">
        <x:v>15</x:v>
      </x:c>
      <x:c r="B19" s="23" t="str">
        <x:v>周三</x:v>
      </x:c>
      <x:c r="C19" s="23" t="str">
        <x:v>1月22日</x:v>
      </x:c>
      <x:c r="D19" s="24" t="n">
        <x:v>3824.4</x:v>
      </x:c>
      <x:c r="E19" s="24" t="n">
        <x:v>3825.4</x:v>
      </x:c>
      <x:c r="F19" s="24" t="n">
        <x:v>3774.2</x:v>
      </x:c>
      <x:c r="G19" s="24" t="n">
        <x:v>3790.8</x:v>
      </x:c>
      <x:c r="H19" s="24"/>
      <x:c r="I19" s="25" t="n">
        <x:v>-0.010648293141246379</x:v>
      </x:c>
      <x:c r="J19" s="24" t="n">
        <x:f>ROUND(E19-F19,1)</x:f>
        <x:v>51.2</x:v>
      </x:c>
      <x:c r="K19" s="23" t="str">
        <x:v>IF2503</x:v>
      </x:c>
    </x:row>
    <x:row r="20">
      <x:c r="A20" s="23" t="n">
        <x:v>16</x:v>
      </x:c>
      <x:c r="B20" s="23" t="str">
        <x:v>周四</x:v>
      </x:c>
      <x:c r="C20" s="23" t="str">
        <x:v>1月23日</x:v>
      </x:c>
      <x:c r="D20" s="24" t="n">
        <x:v>3830.2</x:v>
      </x:c>
      <x:c r="E20" s="24" t="n">
        <x:v>3872.6</x:v>
      </x:c>
      <x:c r="F20" s="24" t="n">
        <x:v>3791</x:v>
      </x:c>
      <x:c r="G20" s="24" t="n">
        <x:v>3798.6</x:v>
      </x:c>
      <x:c r="H20" s="24"/>
      <x:c r="I20" s="25" t="n">
        <x:v>0.002057613168724215</x:v>
      </x:c>
      <x:c r="J20" s="24" t="n">
        <x:f>ROUND(E20-F20,1)</x:f>
        <x:v>81.6</x:v>
      </x:c>
      <x:c r="K20" s="23" t="str">
        <x:v>IF2503</x:v>
      </x:c>
    </x:row>
    <x:row r="21">
      <x:c r="A21" s="23" t="n">
        <x:v>17</x:v>
      </x:c>
      <x:c r="B21" s="23" t="str">
        <x:v>周五</x:v>
      </x:c>
      <x:c r="C21" s="23" t="str">
        <x:v>1月24日</x:v>
      </x:c>
      <x:c r="D21" s="24" t="n">
        <x:v>3798</x:v>
      </x:c>
      <x:c r="E21" s="24" t="n">
        <x:v>3859</x:v>
      </x:c>
      <x:c r="F21" s="24" t="n">
        <x:v>3797</x:v>
      </x:c>
      <x:c r="G21" s="24" t="n">
        <x:v>3843.8</x:v>
      </x:c>
      <x:c r="H21" s="24"/>
      <x:c r="I21" s="25" t="n">
        <x:v>0.011899120728689594</x:v>
      </x:c>
      <x:c r="J21" s="24" t="n">
        <x:f>ROUND(E21-F21,1)</x:f>
        <x:v>62</x:v>
      </x:c>
      <x:c r="K21" s="23" t="str">
        <x:v>IF2503</x:v>
      </x:c>
    </x:row>
    <x:row r="22">
      <x:c r="A22" s="23" t="n">
        <x:v>18</x:v>
      </x:c>
      <x:c r="B22" s="23" t="str">
        <x:v>周一</x:v>
      </x:c>
      <x:c r="C22" s="23" t="str">
        <x:v>1月27日</x:v>
      </x:c>
      <x:c r="D22" s="24" t="n">
        <x:v>3846</x:v>
      </x:c>
      <x:c r="E22" s="24" t="n">
        <x:v>3855.4</x:v>
      </x:c>
      <x:c r="F22" s="24" t="n">
        <x:v>3795</x:v>
      </x:c>
      <x:c r="G22" s="24" t="n">
        <x:v>3795</x:v>
      </x:c>
      <x:c r="H22" s="24"/>
      <x:c r="I22" s="25" t="n">
        <x:v>-0.012695769811124413</x:v>
      </x:c>
      <x:c r="J22" s="24" t="n">
        <x:f>ROUND(E22-F22,1)</x:f>
        <x:v>60.4</x:v>
      </x:c>
      <x:c r="K22" s="23" t="str">
        <x:v>IF2503</x:v>
      </x:c>
    </x:row>
    <x:row r="23">
      <x:c r="A23" s="38" t="str">
        <x:v>合计</x:v>
      </x:c>
      <x:c r="B23" s="37" t="n">
        <x:v>18</x:v>
      </x:c>
      <x:c r="C23" s="37"/>
      <x:c r="D23" s="37"/>
      <x:c r="E23" s="37"/>
      <x:c r="F23" s="37"/>
      <x:c r="G23" s="37"/>
      <x:c r="H23" s="37"/>
      <x:c r="I23" s="37"/>
      <x:c r="J23" s="39" t="n">
        <x:f>ROUND(SUM(J5:J22),1)</x:f>
        <x:v>1141</x:v>
      </x:c>
      <x:c r="K23" s="37"/>
    </x:row>
    <x:row r="24">
      <x:c r="A24" s="38" t="str">
        <x:v>均值</x:v>
      </x:c>
      <x:c r="B24" s="37"/>
      <x:c r="C24" s="37"/>
      <x:c r="D24" s="37"/>
      <x:c r="E24" s="37"/>
      <x:c r="F24" s="37"/>
      <x:c r="G24" s="37"/>
      <x:c r="H24" s="37"/>
      <x:c r="I24" s="37"/>
      <x:c r="J24" s="41" t="n">
        <x:f>ROUND(IFERROR(AVERAGE(J5:J22),0),1)</x:f>
        <x:v>63.4</x:v>
      </x:c>
      <x:c r="K24" s="37"/>
    </x:row>
    <x:row r="26">
      <x:c r="A26" s="17" t="str">
        <x:v>2月</x:v>
      </x:c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</x:row>
    <x:row r="27">
      <x:c r="A27" s="20" t="str">
        <x:v>序号</x:v>
      </x:c>
      <x:c r="B27" s="20" t="str">
        <x:v>星期</x:v>
      </x:c>
      <x:c r="C27" s="20" t="str">
        <x:v>日期</x:v>
      </x:c>
      <x:c r="D27" s="20" t="str">
        <x:v>开盘</x:v>
      </x:c>
      <x:c r="E27" s="20" t="str">
        <x:v>高点</x:v>
      </x:c>
      <x:c r="F27" s="20" t="str">
        <x:v>低点</x:v>
      </x:c>
      <x:c r="G27" s="20" t="str">
        <x:v>收盘</x:v>
      </x:c>
      <x:c r="H27" s="20" t="str">
        <x:v>涨跌点数</x:v>
      </x:c>
      <x:c r="I27" s="20" t="str">
        <x:v>涨幅</x:v>
      </x:c>
      <x:c r="J27" s="20" t="str">
        <x:v>振幅</x:v>
      </x:c>
      <x:c r="K27" s="20" t="str">
        <x:v>标的</x:v>
      </x:c>
    </x:row>
    <x:row r="28">
      <x:c r="A28" s="23" t="n">
        <x:v>1</x:v>
      </x:c>
      <x:c r="B28" s="23" t="str">
        <x:v>周三</x:v>
      </x:c>
      <x:c r="C28" s="23" t="str">
        <x:v>2月5日</x:v>
      </x:c>
      <x:c r="D28" s="24" t="n">
        <x:v>3826.4</x:v>
      </x:c>
      <x:c r="E28" s="24" t="n">
        <x:v>3829.4</x:v>
      </x:c>
      <x:c r="F28" s="24" t="n">
        <x:v>3775.6</x:v>
      </x:c>
      <x:c r="G28" s="24" t="n">
        <x:v>3788.8</x:v>
      </x:c>
      <x:c r="H28" s="24"/>
      <x:c r="I28" s="25" t="n">
        <x:v>-0.0016337285902502385</x:v>
      </x:c>
      <x:c r="J28" s="24" t="n">
        <x:f>ROUND(E28-F28,1)</x:f>
        <x:v>53.8</x:v>
      </x:c>
      <x:c r="K28" s="23" t="str">
        <x:v>IF2503</x:v>
      </x:c>
    </x:row>
    <x:row r="29">
      <x:c r="A29" s="23" t="n">
        <x:v>2</x:v>
      </x:c>
      <x:c r="B29" s="23" t="str">
        <x:v>周四</x:v>
      </x:c>
      <x:c r="C29" s="23" t="str">
        <x:v>2月6日</x:v>
      </x:c>
      <x:c r="D29" s="24" t="n">
        <x:v>3788</x:v>
      </x:c>
      <x:c r="E29" s="24" t="n">
        <x:v>3849.8</x:v>
      </x:c>
      <x:c r="F29" s="24" t="n">
        <x:v>3786.2</x:v>
      </x:c>
      <x:c r="G29" s="24" t="n">
        <x:v>3841.6</x:v>
      </x:c>
      <x:c r="H29" s="24"/>
      <x:c r="I29" s="25" t="n">
        <x:v>0.013935810810810745</x:v>
      </x:c>
      <x:c r="J29" s="24" t="n">
        <x:f>ROUND(E29-F29,1)</x:f>
        <x:v>63.6</x:v>
      </x:c>
      <x:c r="K29" s="23" t="str">
        <x:v>IF2503</x:v>
      </x:c>
    </x:row>
    <x:row r="30">
      <x:c r="A30" s="23" t="n">
        <x:v>3</x:v>
      </x:c>
      <x:c r="B30" s="23" t="str">
        <x:v>周五</x:v>
      </x:c>
      <x:c r="C30" s="23" t="str">
        <x:v>2月7日</x:v>
      </x:c>
      <x:c r="D30" s="24" t="n">
        <x:v>3841.2</x:v>
      </x:c>
      <x:c r="E30" s="24" t="n">
        <x:v>3925.6</x:v>
      </x:c>
      <x:c r="F30" s="24" t="n">
        <x:v>3834.2</x:v>
      </x:c>
      <x:c r="G30" s="24" t="n">
        <x:v>3897.8</x:v>
      </x:c>
      <x:c r="H30" s="24"/>
      <x:c r="I30" s="25" t="n">
        <x:v>0.014629321116201632</x:v>
      </x:c>
      <x:c r="J30" s="29" t="n">
        <x:f>ROUND(E30-F30,1)</x:f>
        <x:v>91.4</x:v>
      </x:c>
      <x:c r="K30" s="23" t="str">
        <x:v>IF2503</x:v>
      </x:c>
    </x:row>
    <x:row r="31">
      <x:c r="A31" s="23" t="n">
        <x:v>4</x:v>
      </x:c>
      <x:c r="B31" s="23" t="str">
        <x:v>周一</x:v>
      </x:c>
      <x:c r="C31" s="23" t="str">
        <x:v>2月10日</x:v>
      </x:c>
      <x:c r="D31" s="24" t="n">
        <x:v>3905</x:v>
      </x:c>
      <x:c r="E31" s="24" t="n">
        <x:v>3910.2</x:v>
      </x:c>
      <x:c r="F31" s="24" t="n">
        <x:v>3882.2</x:v>
      </x:c>
      <x:c r="G31" s="24" t="n">
        <x:v>3899</x:v>
      </x:c>
      <x:c r="H31" s="24"/>
      <x:c r="I31" s="25" t="n">
        <x:v>0.0003078659756785562</x:v>
      </x:c>
      <x:c r="J31" s="24" t="n">
        <x:f>ROUND(E31-F31,1)</x:f>
        <x:v>28</x:v>
      </x:c>
      <x:c r="K31" s="23" t="str">
        <x:v>IF2503</x:v>
      </x:c>
    </x:row>
    <x:row r="32">
      <x:c r="A32" s="23" t="n">
        <x:v>5</x:v>
      </x:c>
      <x:c r="B32" s="23" t="str">
        <x:v>周二</x:v>
      </x:c>
      <x:c r="C32" s="23" t="str">
        <x:v>2月11日</x:v>
      </x:c>
      <x:c r="D32" s="24" t="n">
        <x:v>3902</x:v>
      </x:c>
      <x:c r="E32" s="24" t="n">
        <x:v>3904.4</x:v>
      </x:c>
      <x:c r="F32" s="24" t="n">
        <x:v>3868.4</x:v>
      </x:c>
      <x:c r="G32" s="24" t="n">
        <x:v>3883.2</x:v>
      </x:c>
      <x:c r="H32" s="24"/>
      <x:c r="I32" s="25" t="n">
        <x:v>-0.0040523211079764865</x:v>
      </x:c>
      <x:c r="J32" s="24" t="n">
        <x:f>ROUND(E32-F32,1)</x:f>
        <x:v>36</x:v>
      </x:c>
      <x:c r="K32" s="23" t="str">
        <x:v>IF2503</x:v>
      </x:c>
    </x:row>
    <x:row r="33">
      <x:c r="A33" s="23" t="n">
        <x:v>6</x:v>
      </x:c>
      <x:c r="B33" s="23" t="str">
        <x:v>周三</x:v>
      </x:c>
      <x:c r="C33" s="23" t="str">
        <x:v>2月12日</x:v>
      </x:c>
      <x:c r="D33" s="24" t="n">
        <x:v>3879</x:v>
      </x:c>
      <x:c r="E33" s="24" t="n">
        <x:v>3927.6</x:v>
      </x:c>
      <x:c r="F33" s="24" t="n">
        <x:v>3866</x:v>
      </x:c>
      <x:c r="G33" s="24" t="n">
        <x:v>3918.4</x:v>
      </x:c>
      <x:c r="H33" s="24"/>
      <x:c r="I33" s="25" t="n">
        <x:v>0.0090646889163577</x:v>
      </x:c>
      <x:c r="J33" s="24" t="n">
        <x:f>ROUND(E33-F33,1)</x:f>
        <x:v>61.6</x:v>
      </x:c>
      <x:c r="K33" s="23" t="str">
        <x:v>IF2503</x:v>
      </x:c>
    </x:row>
    <x:row r="34">
      <x:c r="A34" s="23" t="n">
        <x:v>7</x:v>
      </x:c>
      <x:c r="B34" s="23" t="str">
        <x:v>周四</x:v>
      </x:c>
      <x:c r="C34" s="23" t="str">
        <x:v>2月13日</x:v>
      </x:c>
      <x:c r="D34" s="24" t="n">
        <x:v>3914.6</x:v>
      </x:c>
      <x:c r="E34" s="24" t="n">
        <x:v>3940.2</x:v>
      </x:c>
      <x:c r="F34" s="24" t="n">
        <x:v>3901</x:v>
      </x:c>
      <x:c r="G34" s="24" t="n">
        <x:v>3910</x:v>
      </x:c>
      <x:c r="H34" s="24"/>
      <x:c r="I34" s="25" t="n">
        <x:v>-0.0021437321355655126</x:v>
      </x:c>
      <x:c r="J34" s="24" t="n">
        <x:f>ROUND(E34-F34,1)</x:f>
        <x:v>39.2</x:v>
      </x:c>
      <x:c r="K34" s="23" t="str">
        <x:v>IF2503</x:v>
      </x:c>
    </x:row>
    <x:row r="35">
      <x:c r="A35" s="23" t="n">
        <x:v>8</x:v>
      </x:c>
      <x:c r="B35" s="23" t="str">
        <x:v>周五</x:v>
      </x:c>
      <x:c r="C35" s="23" t="str">
        <x:v>2月14日</x:v>
      </x:c>
      <x:c r="D35" s="24" t="n">
        <x:v>3912.8</x:v>
      </x:c>
      <x:c r="E35" s="24" t="n">
        <x:v>3948.6</x:v>
      </x:c>
      <x:c r="F35" s="24" t="n">
        <x:v>3904.4</x:v>
      </x:c>
      <x:c r="G35" s="24" t="n">
        <x:v>3944.4</x:v>
      </x:c>
      <x:c r="H35" s="24"/>
      <x:c r="I35" s="25" t="n">
        <x:v>0.008797953964194472</x:v>
      </x:c>
      <x:c r="J35" s="24" t="n">
        <x:f>ROUND(E35-F35,1)</x:f>
        <x:v>44.2</x:v>
      </x:c>
      <x:c r="K35" s="23" t="str">
        <x:v>IF2503</x:v>
      </x:c>
    </x:row>
    <x:row r="36">
      <x:c r="A36" s="23" t="n">
        <x:v>9</x:v>
      </x:c>
      <x:c r="B36" s="23" t="str">
        <x:v>周一</x:v>
      </x:c>
      <x:c r="C36" s="23" t="str">
        <x:v>2月17日</x:v>
      </x:c>
      <x:c r="D36" s="24" t="n">
        <x:v>3958</x:v>
      </x:c>
      <x:c r="E36" s="24" t="n">
        <x:v>3964</x:v>
      </x:c>
      <x:c r="F36" s="24" t="n">
        <x:v>3916</x:v>
      </x:c>
      <x:c r="G36" s="24" t="n">
        <x:v>3948.2</x:v>
      </x:c>
      <x:c r="H36" s="24"/>
      <x:c r="I36" s="25" t="n">
        <x:v>0.0009633911368014392</x:v>
      </x:c>
      <x:c r="J36" s="24" t="n">
        <x:f>ROUND(E36-F36,1)</x:f>
        <x:v>48</x:v>
      </x:c>
      <x:c r="K36" s="23" t="str">
        <x:v>IF2503</x:v>
      </x:c>
    </x:row>
    <x:row r="37">
      <x:c r="A37" s="23" t="n">
        <x:v>10</x:v>
      </x:c>
      <x:c r="B37" s="23" t="str">
        <x:v>周二</x:v>
      </x:c>
      <x:c r="C37" s="23" t="str">
        <x:v>2月18日</x:v>
      </x:c>
      <x:c r="D37" s="24" t="n">
        <x:v>3940</x:v>
      </x:c>
      <x:c r="E37" s="24" t="n">
        <x:v>3965</x:v>
      </x:c>
      <x:c r="F37" s="24" t="n">
        <x:v>3900.4</x:v>
      </x:c>
      <x:c r="G37" s="24" t="n">
        <x:v>3918.2</x:v>
      </x:c>
      <x:c r="H37" s="24"/>
      <x:c r="I37" s="25" t="n">
        <x:v>-0.007598399270553724</x:v>
      </x:c>
      <x:c r="J37" s="24" t="n">
        <x:f>ROUND(E37-F37,1)</x:f>
        <x:v>64.6</x:v>
      </x:c>
      <x:c r="K37" s="23" t="str">
        <x:v>IF2503</x:v>
      </x:c>
    </x:row>
    <x:row r="38">
      <x:c r="A38" s="23" t="n">
        <x:v>11</x:v>
      </x:c>
      <x:c r="B38" s="23" t="str">
        <x:v>周三</x:v>
      </x:c>
      <x:c r="C38" s="23" t="str">
        <x:v>2月19日</x:v>
      </x:c>
      <x:c r="D38" s="24" t="n">
        <x:v>3914</x:v>
      </x:c>
      <x:c r="E38" s="24" t="n">
        <x:v>3949.6</x:v>
      </x:c>
      <x:c r="F38" s="24" t="n">
        <x:v>3907.4</x:v>
      </x:c>
      <x:c r="G38" s="24" t="n">
        <x:v>3939.4</x:v>
      </x:c>
      <x:c r="H38" s="24"/>
      <x:c r="I38" s="25" t="n">
        <x:v>0.005410647746414199</x:v>
      </x:c>
      <x:c r="J38" s="24" t="n">
        <x:f>ROUND(E38-F38,1)</x:f>
        <x:v>42.2</x:v>
      </x:c>
      <x:c r="K38" s="23" t="str">
        <x:v>IF2503</x:v>
      </x:c>
    </x:row>
    <x:row r="39">
      <x:c r="A39" s="23" t="n">
        <x:v>12</x:v>
      </x:c>
      <x:c r="B39" s="23" t="str">
        <x:v>周四</x:v>
      </x:c>
      <x:c r="C39" s="23" t="str">
        <x:v>2月20日</x:v>
      </x:c>
      <x:c r="D39" s="24" t="n">
        <x:v>3931</x:v>
      </x:c>
      <x:c r="E39" s="24" t="n">
        <x:v>3939.4</x:v>
      </x:c>
      <x:c r="F39" s="24" t="n">
        <x:v>3913.2</x:v>
      </x:c>
      <x:c r="G39" s="24" t="n">
        <x:v>3926.8</x:v>
      </x:c>
      <x:c r="H39" s="24"/>
      <x:c r="I39" s="25" t="n">
        <x:v>-0.0031984566177589713</x:v>
      </x:c>
      <x:c r="J39" s="24" t="n">
        <x:f>ROUND(E39-F39,1)</x:f>
        <x:v>26.2</x:v>
      </x:c>
      <x:c r="K39" s="23" t="str">
        <x:v>IF2503</x:v>
      </x:c>
    </x:row>
    <x:row r="40">
      <x:c r="A40" s="33" t="n">
        <x:v>13</x:v>
      </x:c>
      <x:c r="B40" s="33" t="str">
        <x:v>周五</x:v>
      </x:c>
      <x:c r="C40" s="33" t="str">
        <x:v>2月21日</x:v>
      </x:c>
      <x:c r="D40" s="34" t="n">
        <x:v>3936.2</x:v>
      </x:c>
      <x:c r="E40" s="34" t="n">
        <x:v>3988.4</x:v>
      </x:c>
      <x:c r="F40" s="34" t="n">
        <x:v>3925.8</x:v>
      </x:c>
      <x:c r="G40" s="34" t="n">
        <x:v>3981.6</x:v>
      </x:c>
      <x:c r="H40" s="34"/>
      <x:c r="I40" s="35" t="n">
        <x:v>0.013955383518386322</x:v>
      </x:c>
      <x:c r="J40" s="34" t="n">
        <x:f>ROUND(E40-F40,1)</x:f>
        <x:v>62.6</x:v>
      </x:c>
      <x:c r="K40" s="33" t="str">
        <x:v>IF2503</x:v>
      </x:c>
    </x:row>
    <x:row r="41">
      <x:c r="A41" s="23" t="n">
        <x:v>14</x:v>
      </x:c>
      <x:c r="B41" s="23" t="str">
        <x:v>周一</x:v>
      </x:c>
      <x:c r="C41" s="23" t="str">
        <x:v>2月24日</x:v>
      </x:c>
      <x:c r="D41" s="24" t="n">
        <x:v>3978</x:v>
      </x:c>
      <x:c r="E41" s="24" t="n">
        <x:v>3995.8</x:v>
      </x:c>
      <x:c r="F41" s="24" t="n">
        <x:v>3946</x:v>
      </x:c>
      <x:c r="G41" s="24" t="n">
        <x:v>3967.2</x:v>
      </x:c>
      <x:c r="H41" s="24"/>
      <x:c r="I41" s="25" t="n">
        <x:v>-0.003616636528028905</x:v>
      </x:c>
      <x:c r="J41" s="24" t="n">
        <x:f>ROUND(E41-F41,1)</x:f>
        <x:v>49.8</x:v>
      </x:c>
      <x:c r="K41" s="23" t="str">
        <x:v>IF2503</x:v>
      </x:c>
    </x:row>
    <x:row r="42">
      <x:c r="A42" s="23" t="n">
        <x:v>15</x:v>
      </x:c>
      <x:c r="B42" s="23" t="str">
        <x:v>周二</x:v>
      </x:c>
      <x:c r="C42" s="23" t="str">
        <x:v>2月25日</x:v>
      </x:c>
      <x:c r="D42" s="24" t="n">
        <x:v>3930</x:v>
      </x:c>
      <x:c r="E42" s="24" t="n">
        <x:v>3956.6</x:v>
      </x:c>
      <x:c r="F42" s="24" t="n">
        <x:v>3913</x:v>
      </x:c>
      <x:c r="G42" s="24" t="n">
        <x:v>3928.6</x:v>
      </x:c>
      <x:c r="H42" s="24"/>
      <x:c r="I42" s="25" t="n">
        <x:v>-0.009729784230691596</x:v>
      </x:c>
      <x:c r="J42" s="24" t="n">
        <x:f>ROUND(E42-F42,1)</x:f>
        <x:v>43.6</x:v>
      </x:c>
      <x:c r="K42" s="23" t="str">
        <x:v>IF2503</x:v>
      </x:c>
    </x:row>
    <x:row r="43">
      <x:c r="A43" s="23" t="n">
        <x:v>16</x:v>
      </x:c>
      <x:c r="B43" s="23" t="str">
        <x:v>周三</x:v>
      </x:c>
      <x:c r="C43" s="23" t="str">
        <x:v>2月26日</x:v>
      </x:c>
      <x:c r="D43" s="24" t="n">
        <x:v>3935.6</x:v>
      </x:c>
      <x:c r="E43" s="24" t="n">
        <x:v>3961</x:v>
      </x:c>
      <x:c r="F43" s="24" t="n">
        <x:v>3922.6</x:v>
      </x:c>
      <x:c r="G43" s="24" t="n">
        <x:v>3957.2</x:v>
      </x:c>
      <x:c r="H43" s="24"/>
      <x:c r="I43" s="25" t="n">
        <x:v>0.007279947054930513</x:v>
      </x:c>
      <x:c r="J43" s="24" t="n">
        <x:f>ROUND(E43-F43,1)</x:f>
        <x:v>38.4</x:v>
      </x:c>
      <x:c r="K43" s="23" t="str">
        <x:v>IF2503</x:v>
      </x:c>
    </x:row>
    <x:row r="44">
      <x:c r="A44" s="23" t="n">
        <x:v>17</x:v>
      </x:c>
      <x:c r="B44" s="23" t="str">
        <x:v>周四</x:v>
      </x:c>
      <x:c r="C44" s="23" t="str">
        <x:v>2月27日</x:v>
      </x:c>
      <x:c r="D44" s="24" t="n">
        <x:v>3957</x:v>
      </x:c>
      <x:c r="E44" s="24" t="n">
        <x:v>3975</x:v>
      </x:c>
      <x:c r="F44" s="24" t="n">
        <x:v>3931</x:v>
      </x:c>
      <x:c r="G44" s="24" t="n">
        <x:v>3973.6</x:v>
      </x:c>
      <x:c r="H44" s="24"/>
      <x:c r="I44" s="25" t="n">
        <x:v>0.004144344486000318</x:v>
      </x:c>
      <x:c r="J44" s="24" t="n">
        <x:f>ROUND(E44-F44,1)</x:f>
        <x:v>44</x:v>
      </x:c>
      <x:c r="K44" s="23" t="str">
        <x:v>IF2503</x:v>
      </x:c>
    </x:row>
    <x:row r="45">
      <x:c r="A45" s="23" t="n">
        <x:v>18</x:v>
      </x:c>
      <x:c r="B45" s="23" t="str">
        <x:v>周五</x:v>
      </x:c>
      <x:c r="C45" s="23" t="str">
        <x:v>2月28日</x:v>
      </x:c>
      <x:c r="D45" s="24" t="n">
        <x:v>3955</x:v>
      </x:c>
      <x:c r="E45" s="24" t="n">
        <x:v>3970</x:v>
      </x:c>
      <x:c r="F45" s="24" t="n">
        <x:v>3887.4</x:v>
      </x:c>
      <x:c r="G45" s="24" t="n">
        <x:v>3899.8</x:v>
      </x:c>
      <x:c r="H45" s="24"/>
      <x:c r="I45" s="25" t="n">
        <x:v>-0.01857257902154208</x:v>
      </x:c>
      <x:c r="J45" s="24" t="n">
        <x:f>ROUND(E45-F45,1)</x:f>
        <x:v>82.6</x:v>
      </x:c>
      <x:c r="K45" s="23" t="str">
        <x:v>IF2503</x:v>
      </x:c>
    </x:row>
    <x:row r="46">
      <x:c r="A46" s="38" t="str">
        <x:v>合计</x:v>
      </x:c>
      <x:c r="B46" s="37" t="n">
        <x:v>18</x:v>
      </x:c>
      <x:c r="C46" s="37"/>
      <x:c r="D46" s="37"/>
      <x:c r="E46" s="37"/>
      <x:c r="F46" s="37"/>
      <x:c r="G46" s="37"/>
      <x:c r="H46" s="37"/>
      <x:c r="I46" s="37"/>
      <x:c r="J46" s="39" t="n">
        <x:f>ROUND(SUM(J28:J45),1)</x:f>
        <x:v>919.8</x:v>
      </x:c>
      <x:c r="K46" s="37"/>
    </x:row>
    <x:row r="47">
      <x:c r="A47" s="38" t="str">
        <x:v>均值</x:v>
      </x:c>
      <x:c r="B47" s="37"/>
      <x:c r="C47" s="37"/>
      <x:c r="D47" s="37"/>
      <x:c r="E47" s="37"/>
      <x:c r="F47" s="37"/>
      <x:c r="G47" s="37"/>
      <x:c r="H47" s="37"/>
      <x:c r="I47" s="37"/>
      <x:c r="J47" s="41" t="n">
        <x:f>ROUND(IFERROR(AVERAGE(J28:J45),0),1)</x:f>
        <x:v>51.1</x:v>
      </x:c>
      <x:c r="K47" s="37"/>
    </x:row>
    <x:row r="49">
      <x:c r="A49" s="17" t="str">
        <x:v>3月</x:v>
      </x:c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</x:row>
    <x:row r="50">
      <x:c r="A50" s="20" t="str">
        <x:v>序号</x:v>
      </x:c>
      <x:c r="B50" s="20" t="str">
        <x:v>星期</x:v>
      </x:c>
      <x:c r="C50" s="20" t="str">
        <x:v>日期</x:v>
      </x:c>
      <x:c r="D50" s="20" t="str">
        <x:v>开盘</x:v>
      </x:c>
      <x:c r="E50" s="20" t="str">
        <x:v>高点</x:v>
      </x:c>
      <x:c r="F50" s="20" t="str">
        <x:v>低点</x:v>
      </x:c>
      <x:c r="G50" s="20" t="str">
        <x:v>收盘</x:v>
      </x:c>
      <x:c r="H50" s="20" t="str">
        <x:v>涨跌点数</x:v>
      </x:c>
      <x:c r="I50" s="20" t="str">
        <x:v>涨幅</x:v>
      </x:c>
      <x:c r="J50" s="20" t="str">
        <x:v>振幅</x:v>
      </x:c>
      <x:c r="K50" s="20" t="str">
        <x:v>标的</x:v>
      </x:c>
    </x:row>
    <x:row r="51">
      <x:c r="A51" s="23" t="n">
        <x:v>1</x:v>
      </x:c>
      <x:c r="B51" s="23" t="str">
        <x:v>周一</x:v>
      </x:c>
      <x:c r="C51" s="23" t="str">
        <x:v>3月3日</x:v>
      </x:c>
      <x:c r="D51" s="24" t="n">
        <x:v>3908</x:v>
      </x:c>
      <x:c r="E51" s="24" t="n">
        <x:v>3935</x:v>
      </x:c>
      <x:c r="F51" s="24" t="n">
        <x:v>3871.8</x:v>
      </x:c>
      <x:c r="G51" s="24" t="n">
        <x:v>3886.6</x:v>
      </x:c>
      <x:c r="H51" s="24"/>
      <x:c r="I51" s="25" t="n">
        <x:v>-0.003384788963536667</x:v>
      </x:c>
      <x:c r="J51" s="24" t="n">
        <x:f>ROUND(E51-F51,1)</x:f>
        <x:v>63.2</x:v>
      </x:c>
      <x:c r="K51" s="23" t="str">
        <x:v>IF2503</x:v>
      </x:c>
    </x:row>
    <x:row r="52">
      <x:c r="A52" s="23" t="n">
        <x:v>2</x:v>
      </x:c>
      <x:c r="B52" s="23" t="str">
        <x:v>周二</x:v>
      </x:c>
      <x:c r="C52" s="23" t="str">
        <x:v>3月4日</x:v>
      </x:c>
      <x:c r="D52" s="24" t="n">
        <x:v>3870</x:v>
      </x:c>
      <x:c r="E52" s="24" t="n">
        <x:v>3891</x:v>
      </x:c>
      <x:c r="F52" s="24" t="n">
        <x:v>3858.8</x:v>
      </x:c>
      <x:c r="G52" s="24" t="n">
        <x:v>3882.2</x:v>
      </x:c>
      <x:c r="H52" s="24"/>
      <x:c r="I52" s="25" t="n">
        <x:v>-0.0011320948901353267</x:v>
      </x:c>
      <x:c r="J52" s="24" t="n">
        <x:f>ROUND(E52-F52,1)</x:f>
        <x:v>32.2</x:v>
      </x:c>
      <x:c r="K52" s="23" t="str">
        <x:v>IF2503</x:v>
      </x:c>
    </x:row>
    <x:row r="53">
      <x:c r="A53" s="23" t="n">
        <x:v>3</x:v>
      </x:c>
      <x:c r="B53" s="23" t="str">
        <x:v>周三</x:v>
      </x:c>
      <x:c r="C53" s="23" t="str">
        <x:v>3月5日</x:v>
      </x:c>
      <x:c r="D53" s="24" t="n">
        <x:v>3885</x:v>
      </x:c>
      <x:c r="E53" s="24" t="n">
        <x:v>3903</x:v>
      </x:c>
      <x:c r="F53" s="24" t="n">
        <x:v>3871.4</x:v>
      </x:c>
      <x:c r="G53" s="24" t="n">
        <x:v>3894.6</x:v>
      </x:c>
      <x:c r="H53" s="24"/>
      <x:c r="I53" s="25" t="n">
        <x:v>0.0031940652207511633</x:v>
      </x:c>
      <x:c r="J53" s="24" t="n">
        <x:f>ROUND(E53-F53,1)</x:f>
        <x:v>31.6</x:v>
      </x:c>
      <x:c r="K53" s="23" t="str">
        <x:v>IF2503</x:v>
      </x:c>
    </x:row>
    <x:row r="54">
      <x:c r="A54" s="23" t="n">
        <x:v>4</x:v>
      </x:c>
      <x:c r="B54" s="23" t="str">
        <x:v>周四</x:v>
      </x:c>
      <x:c r="C54" s="23" t="str">
        <x:v>3月6日</x:v>
      </x:c>
      <x:c r="D54" s="24" t="n">
        <x:v>3917.6</x:v>
      </x:c>
      <x:c r="E54" s="24" t="n">
        <x:v>3969</x:v>
      </x:c>
      <x:c r="F54" s="24" t="n">
        <x:v>3916</x:v>
      </x:c>
      <x:c r="G54" s="24" t="n">
        <x:v>3954.2</x:v>
      </x:c>
      <x:c r="H54" s="24"/>
      <x:c r="I54" s="25" t="n">
        <x:v>0.015303240384121564</x:v>
      </x:c>
      <x:c r="J54" s="24" t="n">
        <x:f>ROUND(E54-F54,1)</x:f>
        <x:v>53</x:v>
      </x:c>
      <x:c r="K54" s="23" t="str">
        <x:v>IF2503</x:v>
      </x:c>
    </x:row>
    <x:row r="55">
      <x:c r="A55" s="23" t="n">
        <x:v>5</x:v>
      </x:c>
      <x:c r="B55" s="23" t="str">
        <x:v>周五</x:v>
      </x:c>
      <x:c r="C55" s="23" t="str">
        <x:v>3月7日</x:v>
      </x:c>
      <x:c r="D55" s="24" t="n">
        <x:v>3945.2</x:v>
      </x:c>
      <x:c r="E55" s="24" t="n">
        <x:v>3964.8</x:v>
      </x:c>
      <x:c r="F55" s="24" t="n">
        <x:v>3933</x:v>
      </x:c>
      <x:c r="G55" s="24" t="n">
        <x:v>3943.8</x:v>
      </x:c>
      <x:c r="H55" s="24"/>
      <x:c r="I55" s="25" t="n">
        <x:v>-0.0026301148146273823</x:v>
      </x:c>
      <x:c r="J55" s="24" t="n">
        <x:f>ROUND(E55-F55,1)</x:f>
        <x:v>31.8</x:v>
      </x:c>
      <x:c r="K55" s="23" t="str">
        <x:v>IF2503</x:v>
      </x:c>
    </x:row>
    <x:row r="56">
      <x:c r="A56" s="23" t="n">
        <x:v>6</x:v>
      </x:c>
      <x:c r="B56" s="23" t="str">
        <x:v>周一</x:v>
      </x:c>
      <x:c r="C56" s="23" t="str">
        <x:v>3月10日</x:v>
      </x:c>
      <x:c r="D56" s="24" t="n">
        <x:v>3943.2</x:v>
      </x:c>
      <x:c r="E56" s="24" t="n">
        <x:v>3945.8</x:v>
      </x:c>
      <x:c r="F56" s="24" t="n">
        <x:v>3896.6</x:v>
      </x:c>
      <x:c r="G56" s="24" t="n">
        <x:v>3917.8</x:v>
      </x:c>
      <x:c r="H56" s="24"/>
      <x:c r="I56" s="25" t="n">
        <x:v>-0.006592626400933055</x:v>
      </x:c>
      <x:c r="J56" s="24" t="n">
        <x:f>ROUND(E56-F56,1)</x:f>
        <x:v>49.2</x:v>
      </x:c>
      <x:c r="K56" s="23" t="str">
        <x:v>IF2503</x:v>
      </x:c>
    </x:row>
    <x:row r="57">
      <x:c r="A57" s="23" t="n">
        <x:v>7</x:v>
      </x:c>
      <x:c r="B57" s="23" t="str">
        <x:v>周二</x:v>
      </x:c>
      <x:c r="C57" s="23" t="str">
        <x:v>3月11日</x:v>
      </x:c>
      <x:c r="D57" s="24" t="n">
        <x:v>3884.4</x:v>
      </x:c>
      <x:c r="E57" s="24" t="n">
        <x:v>3930</x:v>
      </x:c>
      <x:c r="F57" s="24" t="n">
        <x:v>3882.2</x:v>
      </x:c>
      <x:c r="G57" s="24" t="n">
        <x:v>3930</x:v>
      </x:c>
      <x:c r="H57" s="24"/>
      <x:c r="I57" s="25" t="n">
        <x:v>0.0031139925468375296</x:v>
      </x:c>
      <x:c r="J57" s="24" t="n">
        <x:f>ROUND(E57-F57,1)</x:f>
        <x:v>47.8</x:v>
      </x:c>
      <x:c r="K57" s="23" t="str">
        <x:v>IF2503</x:v>
      </x:c>
    </x:row>
    <x:row r="58">
      <x:c r="A58" s="23" t="n">
        <x:v>8</x:v>
      </x:c>
      <x:c r="B58" s="23" t="str">
        <x:v>周三</x:v>
      </x:c>
      <x:c r="C58" s="23" t="str">
        <x:v>3月12日</x:v>
      </x:c>
      <x:c r="D58" s="24" t="n">
        <x:v>3936</x:v>
      </x:c>
      <x:c r="E58" s="24" t="n">
        <x:v>3950.8</x:v>
      </x:c>
      <x:c r="F58" s="24" t="n">
        <x:v>3911.6</x:v>
      </x:c>
      <x:c r="G58" s="24" t="n">
        <x:v>3923.2</x:v>
      </x:c>
      <x:c r="H58" s="24"/>
      <x:c r="I58" s="25" t="n">
        <x:v>-0.0017302798982188339</x:v>
      </x:c>
      <x:c r="J58" s="24" t="n">
        <x:f>ROUND(E58-F58,1)</x:f>
        <x:v>39.2</x:v>
      </x:c>
      <x:c r="K58" s="23" t="str">
        <x:v>IF2503</x:v>
      </x:c>
    </x:row>
    <x:row r="59">
      <x:c r="A59" s="23" t="n">
        <x:v>9</x:v>
      </x:c>
      <x:c r="B59" s="23" t="str">
        <x:v>周四</x:v>
      </x:c>
      <x:c r="C59" s="23" t="str">
        <x:v>3月13日</x:v>
      </x:c>
      <x:c r="D59" s="24" t="n">
        <x:v>3924</x:v>
      </x:c>
      <x:c r="E59" s="24" t="n">
        <x:v>3935</x:v>
      </x:c>
      <x:c r="F59" s="24" t="n">
        <x:v>3885.8</x:v>
      </x:c>
      <x:c r="G59" s="24" t="n">
        <x:v>3904.8</x:v>
      </x:c>
      <x:c r="H59" s="24"/>
      <x:c r="I59" s="25" t="n">
        <x:v>-0.004690048939640978</x:v>
      </x:c>
      <x:c r="J59" s="24" t="n">
        <x:f>ROUND(E59-F59,1)</x:f>
        <x:v>49.2</x:v>
      </x:c>
      <x:c r="K59" s="23" t="str">
        <x:v>IF2503</x:v>
      </x:c>
    </x:row>
    <x:row r="60">
      <x:c r="A60" s="23" t="n">
        <x:v>10</x:v>
      </x:c>
      <x:c r="B60" s="23" t="str">
        <x:v>周五</x:v>
      </x:c>
      <x:c r="C60" s="23" t="str">
        <x:v>3月14日</x:v>
      </x:c>
      <x:c r="D60" s="24" t="n">
        <x:v>3913</x:v>
      </x:c>
      <x:c r="E60" s="24" t="n">
        <x:v>4020</x:v>
      </x:c>
      <x:c r="F60" s="24" t="n">
        <x:v>3910.4</x:v>
      </x:c>
      <x:c r="G60" s="24" t="n">
        <x:v>4012.8</x:v>
      </x:c>
      <x:c r="H60" s="24"/>
      <x:c r="I60" s="25" t="n">
        <x:v>0.027658266748617155</x:v>
      </x:c>
      <x:c r="J60" s="29" t="n">
        <x:f>ROUND(E60-F60,1)</x:f>
        <x:v>109.6</x:v>
      </x:c>
      <x:c r="K60" s="23" t="str">
        <x:v>IF2503</x:v>
      </x:c>
    </x:row>
    <x:row r="61">
      <x:c r="A61" s="23" t="n">
        <x:v>11</x:v>
      </x:c>
      <x:c r="B61" s="23" t="str">
        <x:v>周一</x:v>
      </x:c>
      <x:c r="C61" s="23" t="str">
        <x:v>3月17日</x:v>
      </x:c>
      <x:c r="D61" s="24" t="n">
        <x:v>4022</x:v>
      </x:c>
      <x:c r="E61" s="24" t="n">
        <x:v>4028</x:v>
      </x:c>
      <x:c r="F61" s="24" t="n">
        <x:v>3991</x:v>
      </x:c>
      <x:c r="G61" s="24" t="n">
        <x:v>3996</x:v>
      </x:c>
      <x:c r="H61" s="24"/>
      <x:c r="I61" s="25" t="n">
        <x:v>-0.004186602870813405</x:v>
      </x:c>
      <x:c r="J61" s="24" t="n">
        <x:f>ROUND(E61-F61,1)</x:f>
        <x:v>37</x:v>
      </x:c>
      <x:c r="K61" s="23" t="str">
        <x:v>IF2503</x:v>
      </x:c>
    </x:row>
    <x:row r="62">
      <x:c r="A62" s="23" t="n">
        <x:v>12</x:v>
      </x:c>
      <x:c r="B62" s="23" t="str">
        <x:v>周二</x:v>
      </x:c>
      <x:c r="C62" s="23" t="str">
        <x:v>3月18日</x:v>
      </x:c>
      <x:c r="D62" s="24" t="n">
        <x:v>4015</x:v>
      </x:c>
      <x:c r="E62" s="24" t="n">
        <x:v>4019.8</x:v>
      </x:c>
      <x:c r="F62" s="24" t="n">
        <x:v>3996.2</x:v>
      </x:c>
      <x:c r="G62" s="24" t="n">
        <x:v>4005.6</x:v>
      </x:c>
      <x:c r="H62" s="24"/>
      <x:c r="I62" s="25" t="n">
        <x:v>-0.003453453453453492</x:v>
      </x:c>
      <x:c r="J62" s="24" t="n">
        <x:f>ROUND(E62-F62,1)</x:f>
        <x:v>23.6</x:v>
      </x:c>
      <x:c r="K62" s="23" t="str">
        <x:v>IF2503</x:v>
      </x:c>
    </x:row>
    <x:row r="63">
      <x:c r="A63" s="23" t="n">
        <x:v>13</x:v>
      </x:c>
      <x:c r="B63" s="23" t="str">
        <x:v>周三</x:v>
      </x:c>
      <x:c r="C63" s="23" t="str">
        <x:v>3月19日</x:v>
      </x:c>
      <x:c r="D63" s="24" t="n">
        <x:v>3999</x:v>
      </x:c>
      <x:c r="E63" s="24" t="n">
        <x:v>4026</x:v>
      </x:c>
      <x:c r="F63" s="24" t="n">
        <x:v>3988</x:v>
      </x:c>
      <x:c r="G63" s="24" t="n">
        <x:v>4013.2</x:v>
      </x:c>
      <x:c r="H63" s="24"/>
      <x:c r="I63" s="25" t="n">
        <x:v>0.001958716287479234</x:v>
      </x:c>
      <x:c r="J63" s="24" t="n">
        <x:f>ROUND(E63-F63,1)</x:f>
        <x:v>38</x:v>
      </x:c>
      <x:c r="K63" s="23" t="str">
        <x:v>IF2503</x:v>
      </x:c>
    </x:row>
    <x:row r="64">
      <x:c r="A64" s="23" t="n">
        <x:v>14</x:v>
      </x:c>
      <x:c r="B64" s="23" t="str">
        <x:v>周四</x:v>
      </x:c>
      <x:c r="C64" s="23" t="str">
        <x:v>3月20日</x:v>
      </x:c>
      <x:c r="D64" s="24" t="n">
        <x:v>4014.2</x:v>
      </x:c>
      <x:c r="E64" s="24" t="n">
        <x:v>4014.2</x:v>
      </x:c>
      <x:c r="F64" s="24" t="n">
        <x:v>3972</x:v>
      </x:c>
      <x:c r="G64" s="24" t="n">
        <x:v>3977.6</x:v>
      </x:c>
      <x:c r="H64" s="24"/>
      <x:c r="I64" s="25" t="n">
        <x:v>-0.009122807017543866</x:v>
      </x:c>
      <x:c r="J64" s="24" t="n">
        <x:f>ROUND(E64-F64,1)</x:f>
        <x:v>42.2</x:v>
      </x:c>
      <x:c r="K64" s="23" t="str">
        <x:v>IF2503</x:v>
      </x:c>
    </x:row>
    <x:row r="65">
      <x:c r="A65" s="33" t="n">
        <x:v>15</x:v>
      </x:c>
      <x:c r="B65" s="33" t="str">
        <x:v>周五</x:v>
      </x:c>
      <x:c r="C65" s="33" t="str">
        <x:v>3月21日</x:v>
      </x:c>
      <x:c r="D65" s="34" t="n">
        <x:v>3968</x:v>
      </x:c>
      <x:c r="E65" s="34" t="n">
        <x:v>3983.8</x:v>
      </x:c>
      <x:c r="F65" s="34" t="n">
        <x:v>3912.6</x:v>
      </x:c>
      <x:c r="G65" s="34" t="n">
        <x:v>3917.4</x:v>
      </x:c>
      <x:c r="H65" s="34"/>
      <x:c r="I65" s="35" t="n">
        <x:v>-0.017907729664103478</x:v>
      </x:c>
      <x:c r="J65" s="34" t="n">
        <x:f>ROUND(E65-F65,1)</x:f>
        <x:v>71.2</x:v>
      </x:c>
      <x:c r="K65" s="33" t="str">
        <x:v>IF2503</x:v>
      </x:c>
    </x:row>
    <x:row r="66">
      <x:c r="A66" s="23" t="n">
        <x:v>16</x:v>
      </x:c>
      <x:c r="B66" s="23" t="str">
        <x:v>周一</x:v>
      </x:c>
      <x:c r="C66" s="23" t="str">
        <x:v>3月24日</x:v>
      </x:c>
      <x:c r="D66" s="24" t="n">
        <x:v>3885.2</x:v>
      </x:c>
      <x:c r="E66" s="24" t="n">
        <x:v>3907.2</x:v>
      </x:c>
      <x:c r="F66" s="24" t="n">
        <x:v>3878.6</x:v>
      </x:c>
      <x:c r="G66" s="24" t="n">
        <x:v>3900.2</x:v>
      </x:c>
      <x:c r="H66" s="24"/>
      <x:c r="I66" s="25" t="n">
        <x:v>0.004481302153085398</x:v>
      </x:c>
      <x:c r="J66" s="24" t="n">
        <x:f>ROUND(E66-F66,1)</x:f>
        <x:v>28.6</x:v>
      </x:c>
      <x:c r="K66" s="23" t="str">
        <x:v>IF2506</x:v>
      </x:c>
    </x:row>
    <x:row r="67">
      <x:c r="A67" s="23" t="n">
        <x:v>17</x:v>
      </x:c>
      <x:c r="B67" s="23" t="str">
        <x:v>周二</x:v>
      </x:c>
      <x:c r="C67" s="23" t="str">
        <x:v>3月25日</x:v>
      </x:c>
      <x:c r="D67" s="24" t="n">
        <x:v>3901</x:v>
      </x:c>
      <x:c r="E67" s="24" t="n">
        <x:v>3913.2</x:v>
      </x:c>
      <x:c r="F67" s="24" t="n">
        <x:v>3890.6</x:v>
      </x:c>
      <x:c r="G67" s="24" t="n">
        <x:v>3904.4</x:v>
      </x:c>
      <x:c r="H67" s="24"/>
      <x:c r="I67" s="25" t="n">
        <x:v>0.0010768678529307074</x:v>
      </x:c>
      <x:c r="J67" s="24" t="n">
        <x:f>ROUND(E67-F67,1)</x:f>
        <x:v>22.6</x:v>
      </x:c>
      <x:c r="K67" s="23" t="str">
        <x:v>IF2506</x:v>
      </x:c>
    </x:row>
    <x:row r="68">
      <x:c r="A68" s="23" t="n">
        <x:v>18</x:v>
      </x:c>
      <x:c r="B68" s="23" t="str">
        <x:v>周三</x:v>
      </x:c>
      <x:c r="C68" s="23" t="str">
        <x:v>3月26日</x:v>
      </x:c>
      <x:c r="D68" s="24" t="n">
        <x:v>3902</x:v>
      </x:c>
      <x:c r="E68" s="24" t="n">
        <x:v>3918.6</x:v>
      </x:c>
      <x:c r="F68" s="24" t="n">
        <x:v>3888.8</x:v>
      </x:c>
      <x:c r="G68" s="24" t="n">
        <x:v>3891.8</x:v>
      </x:c>
      <x:c r="H68" s="24"/>
      <x:c r="I68" s="25" t="n">
        <x:v>-0.0032271283679951024</x:v>
      </x:c>
      <x:c r="J68" s="24" t="n">
        <x:f>ROUND(E68-F68,1)</x:f>
        <x:v>29.8</x:v>
      </x:c>
      <x:c r="K68" s="23" t="str">
        <x:v>IF2506</x:v>
      </x:c>
    </x:row>
    <x:row r="69">
      <x:c r="A69" s="23" t="n">
        <x:v>19</x:v>
      </x:c>
      <x:c r="B69" s="23" t="str">
        <x:v>周四</x:v>
      </x:c>
      <x:c r="C69" s="23" t="str">
        <x:v>3月27日</x:v>
      </x:c>
      <x:c r="D69" s="24" t="n">
        <x:v>3890</x:v>
      </x:c>
      <x:c r="E69" s="24" t="n">
        <x:v>3931.6</x:v>
      </x:c>
      <x:c r="F69" s="24" t="n">
        <x:v>3873.4</x:v>
      </x:c>
      <x:c r="G69" s="24" t="n">
        <x:v>3904.6</x:v>
      </x:c>
      <x:c r="H69" s="24"/>
      <x:c r="I69" s="25" t="n">
        <x:v>0.0032889665450432926</x:v>
      </x:c>
      <x:c r="J69" s="24" t="n">
        <x:f>ROUND(E69-F69,1)</x:f>
        <x:v>58.2</x:v>
      </x:c>
      <x:c r="K69" s="23" t="str">
        <x:v>IF2506</x:v>
      </x:c>
    </x:row>
    <x:row r="70">
      <x:c r="A70" s="23" t="n">
        <x:v>20</x:v>
      </x:c>
      <x:c r="B70" s="23" t="str">
        <x:v>周五</x:v>
      </x:c>
      <x:c r="C70" s="23" t="str">
        <x:v>3月28日</x:v>
      </x:c>
      <x:c r="D70" s="24" t="n">
        <x:v>3906.4</x:v>
      </x:c>
      <x:c r="E70" s="24" t="n">
        <x:v>3909.8</x:v>
      </x:c>
      <x:c r="F70" s="24" t="n">
        <x:v>3875.2</x:v>
      </x:c>
      <x:c r="G70" s="24" t="n">
        <x:v>3884</x:v>
      </x:c>
      <x:c r="H70" s="24"/>
      <x:c r="I70" s="25" t="n">
        <x:v>-0.005275828509962555</x:v>
      </x:c>
      <x:c r="J70" s="24" t="n">
        <x:f>ROUND(E70-F70,1)</x:f>
        <x:v>34.6</x:v>
      </x:c>
      <x:c r="K70" s="23" t="str">
        <x:v>IF2506</x:v>
      </x:c>
    </x:row>
    <x:row r="71">
      <x:c r="A71" s="23" t="n">
        <x:v>21</x:v>
      </x:c>
      <x:c r="B71" s="23" t="str">
        <x:v>周一</x:v>
      </x:c>
      <x:c r="C71" s="23" t="str">
        <x:v>3月31日</x:v>
      </x:c>
      <x:c r="D71" s="24" t="n">
        <x:v>3877.2</x:v>
      </x:c>
      <x:c r="E71" s="24" t="n">
        <x:v>3902</x:v>
      </x:c>
      <x:c r="F71" s="24" t="n">
        <x:v>3833.8</x:v>
      </x:c>
      <x:c r="G71" s="24" t="n">
        <x:v>3858.6</x:v>
      </x:c>
      <x:c r="H71" s="24"/>
      <x:c r="I71" s="25" t="n">
        <x:v>-0.006539649845520135</x:v>
      </x:c>
      <x:c r="J71" s="24" t="n">
        <x:f>ROUND(E71-F71,1)</x:f>
        <x:v>68.2</x:v>
      </x:c>
      <x:c r="K71" s="23" t="str">
        <x:v>IF2506</x:v>
      </x:c>
    </x:row>
    <x:row r="72">
      <x:c r="A72" s="38" t="str">
        <x:v>合计</x:v>
      </x:c>
      <x:c r="B72" s="37" t="n">
        <x:v>21</x:v>
      </x:c>
      <x:c r="C72" s="37"/>
      <x:c r="D72" s="37"/>
      <x:c r="E72" s="37"/>
      <x:c r="F72" s="37"/>
      <x:c r="G72" s="37"/>
      <x:c r="H72" s="37"/>
      <x:c r="I72" s="37"/>
      <x:c r="J72" s="39" t="n">
        <x:f>ROUND(SUM(J51:J71),1)</x:f>
        <x:v>960.8</x:v>
      </x:c>
      <x:c r="K72" s="37"/>
    </x:row>
    <x:row r="73">
      <x:c r="A73" s="38" t="str">
        <x:v>均值</x:v>
      </x:c>
      <x:c r="B73" s="37"/>
      <x:c r="C73" s="37"/>
      <x:c r="D73" s="37"/>
      <x:c r="E73" s="37"/>
      <x:c r="F73" s="37"/>
      <x:c r="G73" s="37"/>
      <x:c r="H73" s="37"/>
      <x:c r="I73" s="37"/>
      <x:c r="J73" s="41" t="n">
        <x:f>ROUND(IFERROR(AVERAGE(J51:J71),0),1)</x:f>
        <x:v>45.8</x:v>
      </x:c>
      <x:c r="K73" s="37"/>
    </x:row>
    <x:row r="75">
      <x:c r="A75" s="17" t="str">
        <x:v>4月</x:v>
      </x:c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</x:row>
    <x:row r="76">
      <x:c r="A76" s="20" t="str">
        <x:v>序号</x:v>
      </x:c>
      <x:c r="B76" s="20" t="str">
        <x:v>星期</x:v>
      </x:c>
      <x:c r="C76" s="20" t="str">
        <x:v>日期</x:v>
      </x:c>
      <x:c r="D76" s="20" t="str">
        <x:v>开盘</x:v>
      </x:c>
      <x:c r="E76" s="20" t="str">
        <x:v>高点</x:v>
      </x:c>
      <x:c r="F76" s="20" t="str">
        <x:v>低点</x:v>
      </x:c>
      <x:c r="G76" s="20" t="str">
        <x:v>收盘</x:v>
      </x:c>
      <x:c r="H76" s="20" t="str">
        <x:v>涨跌点数</x:v>
      </x:c>
      <x:c r="I76" s="20" t="str">
        <x:v>涨幅</x:v>
      </x:c>
      <x:c r="J76" s="20" t="str">
        <x:v>振幅</x:v>
      </x:c>
      <x:c r="K76" s="20" t="str">
        <x:v>标的</x:v>
      </x:c>
    </x:row>
    <x:row r="77">
      <x:c r="A77" s="23" t="n">
        <x:v>1</x:v>
      </x:c>
      <x:c r="B77" s="23" t="str">
        <x:v>周二</x:v>
      </x:c>
      <x:c r="C77" s="23" t="str">
        <x:v>4月1日</x:v>
      </x:c>
      <x:c r="D77" s="24" t="n">
        <x:v>3866</x:v>
      </x:c>
      <x:c r="E77" s="24" t="n">
        <x:v>3879.6</x:v>
      </x:c>
      <x:c r="F77" s="24" t="n">
        <x:v>3853.4</x:v>
      </x:c>
      <x:c r="G77" s="24" t="n">
        <x:v>3859.6</x:v>
      </x:c>
      <x:c r="H77" s="24"/>
      <x:c r="I77" s="25" t="n">
        <x:v>0.0002591613538589499</x:v>
      </x:c>
      <x:c r="J77" s="24" t="n">
        <x:f>ROUND(E77-F77,1)</x:f>
        <x:v>26.2</x:v>
      </x:c>
      <x:c r="K77" s="23" t="str">
        <x:v>IF2506</x:v>
      </x:c>
    </x:row>
    <x:row r="78">
      <x:c r="A78" s="23" t="n">
        <x:v>2</x:v>
      </x:c>
      <x:c r="B78" s="23" t="str">
        <x:v>周三</x:v>
      </x:c>
      <x:c r="C78" s="23" t="str">
        <x:v>4月2日</x:v>
      </x:c>
      <x:c r="D78" s="24" t="n">
        <x:v>3859.6</x:v>
      </x:c>
      <x:c r="E78" s="24" t="n">
        <x:v>3876</x:v>
      </x:c>
      <x:c r="F78" s="24" t="n">
        <x:v>3850.4</x:v>
      </x:c>
      <x:c r="G78" s="24" t="n">
        <x:v>3857.6</x:v>
      </x:c>
      <x:c r="H78" s="24"/>
      <x:c r="I78" s="25" t="n">
        <x:v>-0.0005181884133070858</x:v>
      </x:c>
      <x:c r="J78" s="24" t="n">
        <x:f>ROUND(E78-F78,1)</x:f>
        <x:v>25.6</x:v>
      </x:c>
      <x:c r="K78" s="23" t="str">
        <x:v>IF2506</x:v>
      </x:c>
    </x:row>
    <x:row r="79">
      <x:c r="A79" s="23" t="n">
        <x:v>3</x:v>
      </x:c>
      <x:c r="B79" s="23" t="str">
        <x:v>周四</x:v>
      </x:c>
      <x:c r="C79" s="23" t="str">
        <x:v>4月3日</x:v>
      </x:c>
      <x:c r="D79" s="24" t="n">
        <x:v>3824</x:v>
      </x:c>
      <x:c r="E79" s="24" t="n">
        <x:v>3864</x:v>
      </x:c>
      <x:c r="F79" s="24" t="n">
        <x:v>3820.2</x:v>
      </x:c>
      <x:c r="G79" s="24" t="n">
        <x:v>3837</x:v>
      </x:c>
      <x:c r="H79" s="24"/>
      <x:c r="I79" s="25" t="n">
        <x:v>-0.005340107839070907</x:v>
      </x:c>
      <x:c r="J79" s="24" t="n">
        <x:f>ROUND(E79-F79,1)</x:f>
        <x:v>43.8</x:v>
      </x:c>
      <x:c r="K79" s="23" t="str">
        <x:v>IF2506</x:v>
      </x:c>
    </x:row>
    <x:row r="80">
      <x:c r="A80" s="23" t="n">
        <x:v>4</x:v>
      </x:c>
      <x:c r="B80" s="23" t="str">
        <x:v>周一</x:v>
      </x:c>
      <x:c r="C80" s="23" t="str">
        <x:v>4月7日</x:v>
      </x:c>
      <x:c r="D80" s="24" t="n">
        <x:v>3683.4</x:v>
      </x:c>
      <x:c r="E80" s="24" t="n">
        <x:v>3729.2</x:v>
      </x:c>
      <x:c r="F80" s="24" t="n">
        <x:v>3452.6</x:v>
      </x:c>
      <x:c r="G80" s="24" t="n">
        <x:v>3452.6</x:v>
      </x:c>
      <x:c r="H80" s="24"/>
      <x:c r="I80" s="25" t="n">
        <x:v>-0.10018243419338024</x:v>
      </x:c>
      <x:c r="J80" s="29" t="n">
        <x:f>ROUND(E80-F80,1)</x:f>
        <x:v>276.6</x:v>
      </x:c>
      <x:c r="K80" s="23" t="str">
        <x:v>IF2506</x:v>
      </x:c>
    </x:row>
    <x:row r="81">
      <x:c r="A81" s="23" t="n">
        <x:v>5</x:v>
      </x:c>
      <x:c r="B81" s="23" t="str">
        <x:v>周二</x:v>
      </x:c>
      <x:c r="C81" s="23" t="str">
        <x:v>4月8日</x:v>
      </x:c>
      <x:c r="D81" s="24" t="n">
        <x:v>3482.6</x:v>
      </x:c>
      <x:c r="E81" s="24" t="n">
        <x:v>3560</x:v>
      </x:c>
      <x:c r="F81" s="24" t="n">
        <x:v>3470</x:v>
      </x:c>
      <x:c r="G81" s="24" t="n">
        <x:v>3543.8</x:v>
      </x:c>
      <x:c r="H81" s="24"/>
      <x:c r="I81" s="25" t="n">
        <x:v>0.026414875745814914</x:v>
      </x:c>
      <x:c r="J81" s="29" t="n">
        <x:f>ROUND(E81-F81,1)</x:f>
        <x:v>90</x:v>
      </x:c>
      <x:c r="K81" s="23" t="str">
        <x:v>IF2506</x:v>
      </x:c>
    </x:row>
    <x:row r="82">
      <x:c r="A82" s="23" t="n">
        <x:v>6</x:v>
      </x:c>
      <x:c r="B82" s="23" t="str">
        <x:v>周三</x:v>
      </x:c>
      <x:c r="C82" s="23" t="str">
        <x:v>4月9日</x:v>
      </x:c>
      <x:c r="D82" s="24" t="n">
        <x:v>3499.6</x:v>
      </x:c>
      <x:c r="E82" s="24" t="n">
        <x:v>3634.4</x:v>
      </x:c>
      <x:c r="F82" s="24" t="n">
        <x:v>3489</x:v>
      </x:c>
      <x:c r="G82" s="24" t="n">
        <x:v>3614</x:v>
      </x:c>
      <x:c r="H82" s="24"/>
      <x:c r="I82" s="25" t="n">
        <x:v>0.019809244314013208</x:v>
      </x:c>
      <x:c r="J82" s="29" t="n">
        <x:f>ROUND(E82-F82,1)</x:f>
        <x:v>145.4</x:v>
      </x:c>
      <x:c r="K82" s="23" t="str">
        <x:v>IF2506</x:v>
      </x:c>
    </x:row>
    <x:row r="83">
      <x:c r="A83" s="23" t="n">
        <x:v>7</x:v>
      </x:c>
      <x:c r="B83" s="23" t="str">
        <x:v>周四</x:v>
      </x:c>
      <x:c r="C83" s="23" t="str">
        <x:v>4月10日</x:v>
      </x:c>
      <x:c r="D83" s="24" t="n">
        <x:v>3678.4</x:v>
      </x:c>
      <x:c r="E83" s="24" t="n">
        <x:v>3713.4</x:v>
      </x:c>
      <x:c r="F83" s="24" t="n">
        <x:v>3655</x:v>
      </x:c>
      <x:c r="G83" s="24" t="n">
        <x:v>3673</x:v>
      </x:c>
      <x:c r="H83" s="24"/>
      <x:c r="I83" s="25" t="n">
        <x:v>0.0163254012174876</x:v>
      </x:c>
      <x:c r="J83" s="24" t="n">
        <x:f>ROUND(E83-F83,1)</x:f>
        <x:v>58.4</x:v>
      </x:c>
      <x:c r="K83" s="23" t="str">
        <x:v>IF2506</x:v>
      </x:c>
    </x:row>
    <x:row r="84">
      <x:c r="A84" s="23" t="n">
        <x:v>8</x:v>
      </x:c>
      <x:c r="B84" s="23" t="str">
        <x:v>周五</x:v>
      </x:c>
      <x:c r="C84" s="23" t="str">
        <x:v>4月11日</x:v>
      </x:c>
      <x:c r="D84" s="24" t="n">
        <x:v>3678.2</x:v>
      </x:c>
      <x:c r="E84" s="24" t="n">
        <x:v>3709</x:v>
      </x:c>
      <x:c r="F84" s="24" t="n">
        <x:v>3650.2</x:v>
      </x:c>
      <x:c r="G84" s="24" t="n">
        <x:v>3686.6</x:v>
      </x:c>
      <x:c r="H84" s="24"/>
      <x:c r="I84" s="25" t="n">
        <x:v>0.003702695344405038</x:v>
      </x:c>
      <x:c r="J84" s="24" t="n">
        <x:f>ROUND(E84-F84,1)</x:f>
        <x:v>58.8</x:v>
      </x:c>
      <x:c r="K84" s="23" t="str">
        <x:v>IF2506</x:v>
      </x:c>
    </x:row>
    <x:row r="85">
      <x:c r="A85" s="23" t="n">
        <x:v>9</x:v>
      </x:c>
      <x:c r="B85" s="23" t="str">
        <x:v>周一</x:v>
      </x:c>
      <x:c r="C85" s="23" t="str">
        <x:v>4月14日</x:v>
      </x:c>
      <x:c r="D85" s="24" t="n">
        <x:v>3706.2</x:v>
      </x:c>
      <x:c r="E85" s="24" t="n">
        <x:v>3717</x:v>
      </x:c>
      <x:c r="F85" s="24" t="n">
        <x:v>3694</x:v>
      </x:c>
      <x:c r="G85" s="24" t="n">
        <x:v>3694.8</x:v>
      </x:c>
      <x:c r="H85" s="24"/>
      <x:c r="I85" s="25" t="n">
        <x:v>0.00222427168664896</x:v>
      </x:c>
      <x:c r="J85" s="24" t="n">
        <x:f>ROUND(E85-F85,1)</x:f>
        <x:v>23</x:v>
      </x:c>
      <x:c r="K85" s="23" t="str">
        <x:v>IF2506</x:v>
      </x:c>
    </x:row>
    <x:row r="86">
      <x:c r="A86" s="23" t="n">
        <x:v>10</x:v>
      </x:c>
      <x:c r="B86" s="23" t="str">
        <x:v>周二</x:v>
      </x:c>
      <x:c r="C86" s="23" t="str">
        <x:v>4月15日</x:v>
      </x:c>
      <x:c r="D86" s="24" t="n">
        <x:v>3692</x:v>
      </x:c>
      <x:c r="E86" s="24" t="n">
        <x:v>3698</x:v>
      </x:c>
      <x:c r="F86" s="24" t="n">
        <x:v>3675.4</x:v>
      </x:c>
      <x:c r="G86" s="24" t="n">
        <x:v>3690.4</x:v>
      </x:c>
      <x:c r="H86" s="24"/>
      <x:c r="I86" s="25" t="n">
        <x:v>-0.0011908628342536254</x:v>
      </x:c>
      <x:c r="J86" s="24" t="n">
        <x:f>ROUND(E86-F86,1)</x:f>
        <x:v>22.6</x:v>
      </x:c>
      <x:c r="K86" s="23" t="str">
        <x:v>IF2506</x:v>
      </x:c>
    </x:row>
    <x:row r="87">
      <x:c r="A87" s="23" t="n">
        <x:v>11</x:v>
      </x:c>
      <x:c r="B87" s="23" t="str">
        <x:v>周三</x:v>
      </x:c>
      <x:c r="C87" s="23" t="str">
        <x:v>4月16日</x:v>
      </x:c>
      <x:c r="D87" s="24" t="n">
        <x:v>3691.2</x:v>
      </x:c>
      <x:c r="E87" s="24" t="n">
        <x:v>3697.8</x:v>
      </x:c>
      <x:c r="F87" s="24" t="n">
        <x:v>3652.6</x:v>
      </x:c>
      <x:c r="G87" s="24" t="n">
        <x:v>3690.8</x:v>
      </x:c>
      <x:c r="H87" s="24"/>
      <x:c r="I87" s="25" t="n">
        <x:v>0.0001083893344895337</x:v>
      </x:c>
      <x:c r="J87" s="24" t="n">
        <x:f>ROUND(E87-F87,1)</x:f>
        <x:v>45.2</x:v>
      </x:c>
      <x:c r="K87" s="23" t="str">
        <x:v>IF2506</x:v>
      </x:c>
    </x:row>
    <x:row r="88">
      <x:c r="A88" s="23" t="n">
        <x:v>12</x:v>
      </x:c>
      <x:c r="B88" s="23" t="str">
        <x:v>周四</x:v>
      </x:c>
      <x:c r="C88" s="23" t="str">
        <x:v>4月17日</x:v>
      </x:c>
      <x:c r="D88" s="24" t="n">
        <x:v>3680</x:v>
      </x:c>
      <x:c r="E88" s="24" t="n">
        <x:v>3725</x:v>
      </x:c>
      <x:c r="F88" s="24" t="n">
        <x:v>3678.2</x:v>
      </x:c>
      <x:c r="G88" s="24" t="n">
        <x:v>3710.6</x:v>
      </x:c>
      <x:c r="H88" s="24"/>
      <x:c r="I88" s="25" t="n">
        <x:v>0.005364690581987519</x:v>
      </x:c>
      <x:c r="J88" s="24" t="n">
        <x:f>ROUND(E88-F88,1)</x:f>
        <x:v>46.8</x:v>
      </x:c>
      <x:c r="K88" s="23" t="str">
        <x:v>IF2506</x:v>
      </x:c>
    </x:row>
    <x:row r="89">
      <x:c r="A89" s="33" t="n">
        <x:v>13</x:v>
      </x:c>
      <x:c r="B89" s="33" t="str">
        <x:v>周五</x:v>
      </x:c>
      <x:c r="C89" s="33" t="str">
        <x:v>4月18日</x:v>
      </x:c>
      <x:c r="D89" s="34" t="n">
        <x:v>3706.4</x:v>
      </x:c>
      <x:c r="E89" s="34" t="n">
        <x:v>3723.4</x:v>
      </x:c>
      <x:c r="F89" s="34" t="n">
        <x:v>3694.6</x:v>
      </x:c>
      <x:c r="G89" s="34" t="n">
        <x:v>3708.8</x:v>
      </x:c>
      <x:c r="H89" s="34"/>
      <x:c r="I89" s="35" t="n">
        <x:v>-0.00048509674985175444</x:v>
      </x:c>
      <x:c r="J89" s="34" t="n">
        <x:f>ROUND(E89-F89,1)</x:f>
        <x:v>28.8</x:v>
      </x:c>
      <x:c r="K89" s="33" t="str">
        <x:v>IF2506</x:v>
      </x:c>
    </x:row>
    <x:row r="90">
      <x:c r="A90" s="23" t="n">
        <x:v>14</x:v>
      </x:c>
      <x:c r="B90" s="23" t="str">
        <x:v>周一</x:v>
      </x:c>
      <x:c r="C90" s="23" t="str">
        <x:v>4月21日</x:v>
      </x:c>
      <x:c r="D90" s="24" t="n">
        <x:v>3708.2</x:v>
      </x:c>
      <x:c r="E90" s="24" t="n">
        <x:v>3745.2</x:v>
      </x:c>
      <x:c r="F90" s="24" t="n">
        <x:v>3705.4</x:v>
      </x:c>
      <x:c r="G90" s="24" t="n">
        <x:v>3733.2</x:v>
      </x:c>
      <x:c r="H90" s="24"/>
      <x:c r="I90" s="25" t="n">
        <x:v>0.006578947368421018</x:v>
      </x:c>
      <x:c r="J90" s="24" t="n">
        <x:f>ROUND(E90-F90,1)</x:f>
        <x:v>39.8</x:v>
      </x:c>
      <x:c r="K90" s="23" t="str">
        <x:v>IF2506</x:v>
      </x:c>
    </x:row>
    <x:row r="91">
      <x:c r="A91" s="23" t="n">
        <x:v>15</x:v>
      </x:c>
      <x:c r="B91" s="23" t="str">
        <x:v>周二</x:v>
      </x:c>
      <x:c r="C91" s="23" t="str">
        <x:v>4月22日</x:v>
      </x:c>
      <x:c r="D91" s="24" t="n">
        <x:v>3733.2</x:v>
      </x:c>
      <x:c r="E91" s="24" t="n">
        <x:v>3750</x:v>
      </x:c>
      <x:c r="F91" s="24" t="n">
        <x:v>3731.4</x:v>
      </x:c>
      <x:c r="G91" s="24" t="n">
        <x:v>3733</x:v>
      </x:c>
      <x:c r="H91" s="24"/>
      <x:c r="I91" s="25" t="n">
        <x:v>-0.00005357334190503327</x:v>
      </x:c>
      <x:c r="J91" s="24" t="n">
        <x:f>ROUND(E91-F91,1)</x:f>
        <x:v>18.6</x:v>
      </x:c>
      <x:c r="K91" s="23" t="str">
        <x:v>IF2506</x:v>
      </x:c>
    </x:row>
    <x:row r="92">
      <x:c r="A92" s="23" t="n">
        <x:v>16</x:v>
      </x:c>
      <x:c r="B92" s="23" t="str">
        <x:v>周三</x:v>
      </x:c>
      <x:c r="C92" s="23" t="str">
        <x:v>4月23日</x:v>
      </x:c>
      <x:c r="D92" s="24" t="n">
        <x:v>3753.8</x:v>
      </x:c>
      <x:c r="E92" s="24" t="n">
        <x:v>3768</x:v>
      </x:c>
      <x:c r="F92" s="24" t="n">
        <x:v>3727.8</x:v>
      </x:c>
      <x:c r="G92" s="24" t="n">
        <x:v>3734</x:v>
      </x:c>
      <x:c r="H92" s="24"/>
      <x:c r="I92" s="25" t="n">
        <x:v>0.0002678810608089943</x:v>
      </x:c>
      <x:c r="J92" s="24" t="n">
        <x:f>ROUND(E92-F92,1)</x:f>
        <x:v>40.2</x:v>
      </x:c>
      <x:c r="K92" s="23" t="str">
        <x:v>IF2506</x:v>
      </x:c>
    </x:row>
    <x:row r="93">
      <x:c r="A93" s="23" t="n">
        <x:v>17</x:v>
      </x:c>
      <x:c r="B93" s="23" t="str">
        <x:v>周四</x:v>
      </x:c>
      <x:c r="C93" s="23" t="str">
        <x:v>4月24日</x:v>
      </x:c>
      <x:c r="D93" s="24" t="n">
        <x:v>3736.2</x:v>
      </x:c>
      <x:c r="E93" s="24" t="n">
        <x:v>3759.8</x:v>
      </x:c>
      <x:c r="F93" s="24" t="n">
        <x:v>3720.6</x:v>
      </x:c>
      <x:c r="G93" s="24" t="n">
        <x:v>3736.8</x:v>
      </x:c>
      <x:c r="H93" s="24"/>
      <x:c r="I93" s="25" t="n">
        <x:v>0.0007498660953402236</x:v>
      </x:c>
      <x:c r="J93" s="24" t="n">
        <x:f>ROUND(E93-F93,1)</x:f>
        <x:v>39.2</x:v>
      </x:c>
      <x:c r="K93" s="23" t="str">
        <x:v>IF2506</x:v>
      </x:c>
    </x:row>
    <x:row r="94">
      <x:c r="A94" s="23" t="n">
        <x:v>18</x:v>
      </x:c>
      <x:c r="B94" s="23" t="str">
        <x:v>周五</x:v>
      </x:c>
      <x:c r="C94" s="23" t="str">
        <x:v>4月25日</x:v>
      </x:c>
      <x:c r="D94" s="24" t="n">
        <x:v>3745</x:v>
      </x:c>
      <x:c r="E94" s="24" t="n">
        <x:v>3760</x:v>
      </x:c>
      <x:c r="F94" s="24" t="n">
        <x:v>3730.2</x:v>
      </x:c>
      <x:c r="G94" s="24" t="n">
        <x:v>3739.2</x:v>
      </x:c>
      <x:c r="H94" s="24"/>
      <x:c r="I94" s="25" t="n">
        <x:v>0.0006422607578675521</x:v>
      </x:c>
      <x:c r="J94" s="24" t="n">
        <x:f>ROUND(E94-F94,1)</x:f>
        <x:v>29.8</x:v>
      </x:c>
      <x:c r="K94" s="23" t="str">
        <x:v>IF2506</x:v>
      </x:c>
    </x:row>
    <x:row r="95">
      <x:c r="A95" s="23" t="n">
        <x:v>19</x:v>
      </x:c>
      <x:c r="B95" s="23" t="str">
        <x:v>周一</x:v>
      </x:c>
      <x:c r="C95" s="23" t="str">
        <x:v>4月28日</x:v>
      </x:c>
      <x:c r="D95" s="24" t="n">
        <x:v>3737</x:v>
      </x:c>
      <x:c r="E95" s="24" t="n">
        <x:v>3741</x:v>
      </x:c>
      <x:c r="F95" s="24" t="n">
        <x:v>3716.8</x:v>
      </x:c>
      <x:c r="G95" s="24" t="n">
        <x:v>3730.6</x:v>
      </x:c>
      <x:c r="H95" s="24"/>
      <x:c r="I95" s="25" t="n">
        <x:v>-0.0022999572100983467</x:v>
      </x:c>
      <x:c r="J95" s="24" t="n">
        <x:f>ROUND(E95-F95,1)</x:f>
        <x:v>24.2</x:v>
      </x:c>
      <x:c r="K95" s="23" t="str">
        <x:v>IF2506</x:v>
      </x:c>
    </x:row>
    <x:row r="96">
      <x:c r="A96" s="23" t="n">
        <x:v>20</x:v>
      </x:c>
      <x:c r="B96" s="23" t="str">
        <x:v>周二</x:v>
      </x:c>
      <x:c r="C96" s="23" t="str">
        <x:v>4月29日</x:v>
      </x:c>
      <x:c r="D96" s="24" t="n">
        <x:v>3729</x:v>
      </x:c>
      <x:c r="E96" s="24" t="n">
        <x:v>3739</x:v>
      </x:c>
      <x:c r="F96" s="24" t="n">
        <x:v>3715.4</x:v>
      </x:c>
      <x:c r="G96" s="24" t="n">
        <x:v>3724.8</x:v>
      </x:c>
      <x:c r="H96" s="24"/>
      <x:c r="I96" s="25" t="n">
        <x:v>-0.0015547096981718411</x:v>
      </x:c>
      <x:c r="J96" s="24" t="n">
        <x:f>ROUND(E96-F96,1)</x:f>
        <x:v>23.6</x:v>
      </x:c>
      <x:c r="K96" s="23" t="str">
        <x:v>IF2506</x:v>
      </x:c>
    </x:row>
    <x:row r="97">
      <x:c r="A97" s="23" t="n">
        <x:v>21</x:v>
      </x:c>
      <x:c r="B97" s="23" t="str">
        <x:v>周三</x:v>
      </x:c>
      <x:c r="C97" s="23" t="str">
        <x:v>4月30日</x:v>
      </x:c>
      <x:c r="D97" s="24" t="n">
        <x:v>3725.8</x:v>
      </x:c>
      <x:c r="E97" s="24" t="n">
        <x:v>3748</x:v>
      </x:c>
      <x:c r="F97" s="24" t="n">
        <x:v>3715.6</x:v>
      </x:c>
      <x:c r="G97" s="24" t="n">
        <x:v>3716.2</x:v>
      </x:c>
      <x:c r="H97" s="24"/>
      <x:c r="I97" s="25" t="n">
        <x:v>-0.0023088487972509064</x:v>
      </x:c>
      <x:c r="J97" s="24" t="n">
        <x:f>ROUND(E97-F97,1)</x:f>
        <x:v>32.4</x:v>
      </x:c>
      <x:c r="K97" s="23" t="str">
        <x:v>IF2506</x:v>
      </x:c>
    </x:row>
    <x:row r="98">
      <x:c r="A98" s="38" t="str">
        <x:v>合计</x:v>
      </x:c>
      <x:c r="B98" s="37" t="n">
        <x:v>21</x:v>
      </x:c>
      <x:c r="C98" s="37"/>
      <x:c r="D98" s="37"/>
      <x:c r="E98" s="37"/>
      <x:c r="F98" s="37"/>
      <x:c r="G98" s="37"/>
      <x:c r="H98" s="37"/>
      <x:c r="I98" s="37"/>
      <x:c r="J98" s="39" t="n">
        <x:f>ROUND(SUM(J77:J97),1)</x:f>
        <x:v>1139</x:v>
      </x:c>
      <x:c r="K98" s="37"/>
    </x:row>
    <x:row r="99">
      <x:c r="A99" s="38" t="str">
        <x:v>均值</x:v>
      </x:c>
      <x:c r="B99" s="37"/>
      <x:c r="C99" s="37"/>
      <x:c r="D99" s="37"/>
      <x:c r="E99" s="37"/>
      <x:c r="F99" s="37"/>
      <x:c r="G99" s="37"/>
      <x:c r="H99" s="37"/>
      <x:c r="I99" s="37"/>
      <x:c r="J99" s="41" t="n">
        <x:f>ROUND(IFERROR(AVERAGE(J77:J97),0),1)</x:f>
        <x:v>54.2</x:v>
      </x:c>
      <x:c r="K99" s="37"/>
    </x:row>
    <x:row r="101">
      <x:c r="A101" s="17" t="str">
        <x:v>5月</x:v>
      </x:c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</x:row>
    <x:row r="102">
      <x:c r="A102" s="20" t="str">
        <x:v>序号</x:v>
      </x:c>
      <x:c r="B102" s="20" t="str">
        <x:v>星期</x:v>
      </x:c>
      <x:c r="C102" s="20" t="str">
        <x:v>日期</x:v>
      </x:c>
      <x:c r="D102" s="20" t="str">
        <x:v>开盘</x:v>
      </x:c>
      <x:c r="E102" s="20" t="str">
        <x:v>高点</x:v>
      </x:c>
      <x:c r="F102" s="20" t="str">
        <x:v>低点</x:v>
      </x:c>
      <x:c r="G102" s="20" t="str">
        <x:v>收盘</x:v>
      </x:c>
      <x:c r="H102" s="20" t="str">
        <x:v>涨跌点数</x:v>
      </x:c>
      <x:c r="I102" s="20" t="str">
        <x:v>涨幅</x:v>
      </x:c>
      <x:c r="J102" s="20" t="str">
        <x:v>振幅</x:v>
      </x:c>
      <x:c r="K102" s="20" t="str">
        <x:v>标的</x:v>
      </x:c>
    </x:row>
    <x:row r="103">
      <x:c r="A103" s="23" t="n">
        <x:v>1</x:v>
      </x:c>
      <x:c r="B103" s="23" t="str">
        <x:v>周二</x:v>
      </x:c>
      <x:c r="C103" s="23" t="str">
        <x:v>5月6日</x:v>
      </x:c>
      <x:c r="D103" s="24" t="n">
        <x:v>3734</x:v>
      </x:c>
      <x:c r="E103" s="24" t="n">
        <x:v>3772</x:v>
      </x:c>
      <x:c r="F103" s="24" t="n">
        <x:v>3733.2</x:v>
      </x:c>
      <x:c r="G103" s="24" t="n">
        <x:v>3766.2</x:v>
      </x:c>
      <x:c r="H103" s="24"/>
      <x:c r="I103" s="25" t="n">
        <x:v>0.013454604165545447</x:v>
      </x:c>
      <x:c r="J103" s="24" t="n">
        <x:f>ROUND(E103-F103,1)</x:f>
        <x:v>38.8</x:v>
      </x:c>
      <x:c r="K103" s="23" t="str">
        <x:v>IF2506</x:v>
      </x:c>
    </x:row>
    <x:row r="104">
      <x:c r="A104" s="23" t="n">
        <x:v>2</x:v>
      </x:c>
      <x:c r="B104" s="23" t="str">
        <x:v>周三</x:v>
      </x:c>
      <x:c r="C104" s="23" t="str">
        <x:v>5月7日</x:v>
      </x:c>
      <x:c r="D104" s="24" t="n">
        <x:v>3820</x:v>
      </x:c>
      <x:c r="E104" s="24" t="n">
        <x:v>3835</x:v>
      </x:c>
      <x:c r="F104" s="24" t="n">
        <x:v>3770.2</x:v>
      </x:c>
      <x:c r="G104" s="24" t="n">
        <x:v>3785</x:v>
      </x:c>
      <x:c r="H104" s="24"/>
      <x:c r="I104" s="25" t="n">
        <x:v>0.004991768891721149</x:v>
      </x:c>
      <x:c r="J104" s="24" t="n">
        <x:f>ROUND(E104-F104,1)</x:f>
        <x:v>64.8</x:v>
      </x:c>
      <x:c r="K104" s="23" t="str">
        <x:v>IF2506</x:v>
      </x:c>
    </x:row>
    <x:row r="105">
      <x:c r="A105" s="23" t="n">
        <x:v>3</x:v>
      </x:c>
      <x:c r="B105" s="23" t="str">
        <x:v>周四</x:v>
      </x:c>
      <x:c r="C105" s="23" t="str">
        <x:v>5月8日</x:v>
      </x:c>
      <x:c r="D105" s="24" t="n">
        <x:v>3778</x:v>
      </x:c>
      <x:c r="E105" s="24" t="n">
        <x:v>3836.2</x:v>
      </x:c>
      <x:c r="F105" s="24" t="n">
        <x:v>3775.6</x:v>
      </x:c>
      <x:c r="G105" s="24" t="n">
        <x:v>3816</x:v>
      </x:c>
      <x:c r="H105" s="24"/>
      <x:c r="I105" s="25" t="n">
        <x:v>0.008190224570673754</x:v>
      </x:c>
      <x:c r="J105" s="24" t="n">
        <x:f>ROUND(E105-F105,1)</x:f>
        <x:v>60.6</x:v>
      </x:c>
      <x:c r="K105" s="23" t="str">
        <x:v>IF2506</x:v>
      </x:c>
    </x:row>
    <x:row r="106">
      <x:c r="A106" s="23" t="n">
        <x:v>4</x:v>
      </x:c>
      <x:c r="B106" s="23" t="str">
        <x:v>周五</x:v>
      </x:c>
      <x:c r="C106" s="23" t="str">
        <x:v>5月9日</x:v>
      </x:c>
      <x:c r="D106" s="24" t="n">
        <x:v>3813.2</x:v>
      </x:c>
      <x:c r="E106" s="24" t="n">
        <x:v>3815.2</x:v>
      </x:c>
      <x:c r="F106" s="24" t="n">
        <x:v>3793.4</x:v>
      </x:c>
      <x:c r="G106" s="24" t="n">
        <x:v>3808.6</x:v>
      </x:c>
      <x:c r="H106" s="24"/>
      <x:c r="I106" s="25" t="n">
        <x:v>-0.0019392033542977583</x:v>
      </x:c>
      <x:c r="J106" s="24" t="n">
        <x:f>ROUND(E106-F106,1)</x:f>
        <x:v>21.8</x:v>
      </x:c>
      <x:c r="K106" s="23" t="str">
        <x:v>IF2506</x:v>
      </x:c>
    </x:row>
    <x:row r="107">
      <x:c r="A107" s="23" t="n">
        <x:v>5</x:v>
      </x:c>
      <x:c r="B107" s="23" t="str">
        <x:v>周一</x:v>
      </x:c>
      <x:c r="C107" s="23" t="str">
        <x:v>5月12日</x:v>
      </x:c>
      <x:c r="D107" s="24" t="n">
        <x:v>3830.6</x:v>
      </x:c>
      <x:c r="E107" s="24" t="n">
        <x:v>3858.8</x:v>
      </x:c>
      <x:c r="F107" s="24" t="n">
        <x:v>3822</x:v>
      </x:c>
      <x:c r="G107" s="24" t="n">
        <x:v>3853</x:v>
      </x:c>
      <x:c r="H107" s="24"/>
      <x:c r="I107" s="25" t="n">
        <x:v>0.01165782702305318</x:v>
      </x:c>
      <x:c r="J107" s="24" t="n">
        <x:f>ROUND(E107-F107,1)</x:f>
        <x:v>36.8</x:v>
      </x:c>
      <x:c r="K107" s="23" t="str">
        <x:v>IF2506</x:v>
      </x:c>
    </x:row>
    <x:row r="108">
      <x:c r="A108" s="23" t="n">
        <x:v>6</x:v>
      </x:c>
      <x:c r="B108" s="23" t="str">
        <x:v>周二</x:v>
      </x:c>
      <x:c r="C108" s="23" t="str">
        <x:v>5月13日</x:v>
      </x:c>
      <x:c r="D108" s="24" t="n">
        <x:v>3868</x:v>
      </x:c>
      <x:c r="E108" s="24" t="n">
        <x:v>3872</x:v>
      </x:c>
      <x:c r="F108" s="24" t="n">
        <x:v>3842</x:v>
      </x:c>
      <x:c r="G108" s="24" t="n">
        <x:v>3851</x:v>
      </x:c>
      <x:c r="H108" s="24"/>
      <x:c r="I108" s="25" t="n">
        <x:v>-0.0005190760446405207</x:v>
      </x:c>
      <x:c r="J108" s="24" t="n">
        <x:f>ROUND(E108-F108,1)</x:f>
        <x:v>30</x:v>
      </x:c>
      <x:c r="K108" s="23" t="str">
        <x:v>IF2506</x:v>
      </x:c>
    </x:row>
    <x:row r="109">
      <x:c r="A109" s="23" t="n">
        <x:v>7</x:v>
      </x:c>
      <x:c r="B109" s="23" t="str">
        <x:v>周三</x:v>
      </x:c>
      <x:c r="C109" s="23" t="str">
        <x:v>5月14日</x:v>
      </x:c>
      <x:c r="D109" s="24" t="n">
        <x:v>3852</x:v>
      </x:c>
      <x:c r="E109" s="24" t="n">
        <x:v>3933.2</x:v>
      </x:c>
      <x:c r="F109" s="24" t="n">
        <x:v>3851.2</x:v>
      </x:c>
      <x:c r="G109" s="24" t="n">
        <x:v>3907.4</x:v>
      </x:c>
      <x:c r="H109" s="24"/>
      <x:c r="I109" s="25" t="n">
        <x:v>0.014645546611269822</x:v>
      </x:c>
      <x:c r="J109" s="24" t="n">
        <x:f>ROUND(E109-F109,1)</x:f>
        <x:v>82</x:v>
      </x:c>
      <x:c r="K109" s="23" t="str">
        <x:v>IF2506</x:v>
      </x:c>
    </x:row>
    <x:row r="110">
      <x:c r="A110" s="23" t="n">
        <x:v>8</x:v>
      </x:c>
      <x:c r="B110" s="23" t="str">
        <x:v>周四</x:v>
      </x:c>
      <x:c r="C110" s="23" t="str">
        <x:v>5月15日</x:v>
      </x:c>
      <x:c r="D110" s="24" t="n">
        <x:v>3896.4</x:v>
      </x:c>
      <x:c r="E110" s="24" t="n">
        <x:v>3905.8</x:v>
      </x:c>
      <x:c r="F110" s="24" t="n">
        <x:v>3863.4</x:v>
      </x:c>
      <x:c r="G110" s="24" t="n">
        <x:v>3872.8</x:v>
      </x:c>
      <x:c r="H110" s="24"/>
      <x:c r="I110" s="25" t="n">
        <x:v>-0.008854993090034236</x:v>
      </x:c>
      <x:c r="J110" s="24" t="n">
        <x:f>ROUND(E110-F110,1)</x:f>
        <x:v>42.4</x:v>
      </x:c>
      <x:c r="K110" s="23" t="str">
        <x:v>IF2506</x:v>
      </x:c>
    </x:row>
    <x:row r="111">
      <x:c r="A111" s="33" t="n">
        <x:v>9</x:v>
      </x:c>
      <x:c r="B111" s="33" t="str">
        <x:v>周五</x:v>
      </x:c>
      <x:c r="C111" s="33" t="str">
        <x:v>5月16日</x:v>
      </x:c>
      <x:c r="D111" s="34" t="n">
        <x:v>3868</x:v>
      </x:c>
      <x:c r="E111" s="34" t="n">
        <x:v>3876.8</x:v>
      </x:c>
      <x:c r="F111" s="34" t="n">
        <x:v>3838.4</x:v>
      </x:c>
      <x:c r="G111" s="34" t="n">
        <x:v>3846</x:v>
      </x:c>
      <x:c r="H111" s="34"/>
      <x:c r="I111" s="35" t="n">
        <x:v>-0.006920057839289395</x:v>
      </x:c>
      <x:c r="J111" s="34" t="n">
        <x:f>ROUND(E111-F111,1)</x:f>
        <x:v>38.4</x:v>
      </x:c>
      <x:c r="K111" s="33" t="str">
        <x:v>IF2506</x:v>
      </x:c>
    </x:row>
    <x:row r="112">
      <x:c r="A112" s="23" t="n">
        <x:v>10</x:v>
      </x:c>
      <x:c r="B112" s="23" t="str">
        <x:v>周一</x:v>
      </x:c>
      <x:c r="C112" s="23" t="str">
        <x:v>5月19日</x:v>
      </x:c>
      <x:c r="D112" s="24" t="n">
        <x:v>3840</x:v>
      </x:c>
      <x:c r="E112" s="24" t="n">
        <x:v>3848</x:v>
      </x:c>
      <x:c r="F112" s="24" t="n">
        <x:v>3821.8</x:v>
      </x:c>
      <x:c r="G112" s="24" t="n">
        <x:v>3843.2</x:v>
      </x:c>
      <x:c r="H112" s="24"/>
      <x:c r="I112" s="25" t="n">
        <x:v>-0.0007280291211648748</x:v>
      </x:c>
      <x:c r="J112" s="24" t="n">
        <x:f>ROUND(E112-F112,1)</x:f>
        <x:v>26.2</x:v>
      </x:c>
      <x:c r="K112" s="23" t="str">
        <x:v>IF2506</x:v>
      </x:c>
    </x:row>
    <x:row r="113">
      <x:c r="A113" s="23" t="n">
        <x:v>11</x:v>
      </x:c>
      <x:c r="B113" s="23" t="str">
        <x:v>周二</x:v>
      </x:c>
      <x:c r="C113" s="23" t="str">
        <x:v>5月20日</x:v>
      </x:c>
      <x:c r="D113" s="24" t="n">
        <x:v>3847</x:v>
      </x:c>
      <x:c r="E113" s="24" t="n">
        <x:v>3878</x:v>
      </x:c>
      <x:c r="F113" s="24" t="n">
        <x:v>3839.4</x:v>
      </x:c>
      <x:c r="G113" s="24" t="n">
        <x:v>3865.4</x:v>
      </x:c>
      <x:c r="H113" s="24"/>
      <x:c r="I113" s="25" t="n">
        <x:v>0.005776436303080779</x:v>
      </x:c>
      <x:c r="J113" s="24" t="n">
        <x:f>ROUND(E113-F113,1)</x:f>
        <x:v>38.6</x:v>
      </x:c>
      <x:c r="K113" s="23" t="str">
        <x:v>IF2506</x:v>
      </x:c>
    </x:row>
    <x:row r="114">
      <x:c r="A114" s="23" t="n">
        <x:v>12</x:v>
      </x:c>
      <x:c r="B114" s="23" t="str">
        <x:v>周三</x:v>
      </x:c>
      <x:c r="C114" s="23" t="str">
        <x:v>5月21日</x:v>
      </x:c>
      <x:c r="D114" s="24" t="n">
        <x:v>3865.4</x:v>
      </x:c>
      <x:c r="E114" s="24" t="n">
        <x:v>3894.6</x:v>
      </x:c>
      <x:c r="F114" s="24" t="n">
        <x:v>3863.8</x:v>
      </x:c>
      <x:c r="G114" s="24" t="n">
        <x:v>3881.2</x:v>
      </x:c>
      <x:c r="H114" s="24"/>
      <x:c r="I114" s="25" t="n">
        <x:v>0.004087545920215208</x:v>
      </x:c>
      <x:c r="J114" s="24" t="n">
        <x:f>ROUND(E114-F114,1)</x:f>
        <x:v>30.8</x:v>
      </x:c>
      <x:c r="K114" s="23" t="str">
        <x:v>IF2506</x:v>
      </x:c>
    </x:row>
    <x:row r="115">
      <x:c r="A115" s="23" t="n">
        <x:v>13</x:v>
      </x:c>
      <x:c r="B115" s="23" t="str">
        <x:v>周四</x:v>
      </x:c>
      <x:c r="C115" s="23" t="str">
        <x:v>5月22日</x:v>
      </x:c>
      <x:c r="D115" s="24" t="n">
        <x:v>3878</x:v>
      </x:c>
      <x:c r="E115" s="24" t="n">
        <x:v>3889.8</x:v>
      </x:c>
      <x:c r="F115" s="24" t="n">
        <x:v>3864</x:v>
      </x:c>
      <x:c r="G115" s="24" t="n">
        <x:v>3879.6</x:v>
      </x:c>
      <x:c r="H115" s="24"/>
      <x:c r="I115" s="25" t="n">
        <x:v>-0.000412243635988796</x:v>
      </x:c>
      <x:c r="J115" s="24" t="n">
        <x:f>ROUND(E115-F115,1)</x:f>
        <x:v>25.8</x:v>
      </x:c>
      <x:c r="K115" s="23" t="str">
        <x:v>IF2506</x:v>
      </x:c>
    </x:row>
    <x:row r="116">
      <x:c r="A116" s="23" t="n">
        <x:v>14</x:v>
      </x:c>
      <x:c r="B116" s="23" t="str">
        <x:v>周五</x:v>
      </x:c>
      <x:c r="C116" s="23" t="str">
        <x:v>5月23日</x:v>
      </x:c>
      <x:c r="D116" s="24" t="n">
        <x:v>3875.2</x:v>
      </x:c>
      <x:c r="E116" s="24" t="n">
        <x:v>3904.8</x:v>
      </x:c>
      <x:c r="F116" s="24" t="n">
        <x:v>3846</x:v>
      </x:c>
      <x:c r="G116" s="24" t="n">
        <x:v>3846.2</x:v>
      </x:c>
      <x:c r="H116" s="24"/>
      <x:c r="I116" s="25" t="n">
        <x:v>-0.00860913496236726</x:v>
      </x:c>
      <x:c r="J116" s="24" t="n">
        <x:f>ROUND(E116-F116,1)</x:f>
        <x:v>58.8</x:v>
      </x:c>
      <x:c r="K116" s="23" t="str">
        <x:v>IF2506</x:v>
      </x:c>
    </x:row>
    <x:row r="117">
      <x:c r="A117" s="23" t="n">
        <x:v>15</x:v>
      </x:c>
      <x:c r="B117" s="23" t="str">
        <x:v>周一</x:v>
      </x:c>
      <x:c r="C117" s="23" t="str">
        <x:v>5月26日</x:v>
      </x:c>
      <x:c r="D117" s="24" t="n">
        <x:v>3846.2</x:v>
      </x:c>
      <x:c r="E117" s="24" t="n">
        <x:v>3856.8</x:v>
      </x:c>
      <x:c r="F117" s="24" t="n">
        <x:v>3817.4</x:v>
      </x:c>
      <x:c r="G117" s="24" t="n">
        <x:v>3831.2</x:v>
      </x:c>
      <x:c r="H117" s="24"/>
      <x:c r="I117" s="25" t="n">
        <x:v>-0.003899953200561579</x:v>
      </x:c>
      <x:c r="J117" s="24" t="n">
        <x:f>ROUND(E117-F117,1)</x:f>
        <x:v>39.4</x:v>
      </x:c>
      <x:c r="K117" s="23" t="str">
        <x:v>IF2506</x:v>
      </x:c>
    </x:row>
    <x:row r="118">
      <x:c r="A118" s="23" t="n">
        <x:v>16</x:v>
      </x:c>
      <x:c r="B118" s="23" t="str">
        <x:v>周二</x:v>
      </x:c>
      <x:c r="C118" s="23" t="str">
        <x:v>5月27日</x:v>
      </x:c>
      <x:c r="D118" s="24" t="n">
        <x:v>3828.2</x:v>
      </x:c>
      <x:c r="E118" s="24" t="n">
        <x:v>3834.6</x:v>
      </x:c>
      <x:c r="F118" s="24" t="n">
        <x:v>3802</x:v>
      </x:c>
      <x:c r="G118" s="24" t="n">
        <x:v>3809.2</x:v>
      </x:c>
      <x:c r="H118" s="24"/>
      <x:c r="I118" s="25" t="n">
        <x:v>-0.005742326164126177</x:v>
      </x:c>
      <x:c r="J118" s="24" t="n">
        <x:f>ROUND(E118-F118,1)</x:f>
        <x:v>32.6</x:v>
      </x:c>
      <x:c r="K118" s="23" t="str">
        <x:v>IF2506</x:v>
      </x:c>
    </x:row>
    <x:row r="119">
      <x:c r="A119" s="23" t="n">
        <x:v>17</x:v>
      </x:c>
      <x:c r="B119" s="23" t="str">
        <x:v>周三</x:v>
      </x:c>
      <x:c r="C119" s="23" t="str">
        <x:v>5月28日</x:v>
      </x:c>
      <x:c r="D119" s="24" t="n">
        <x:v>3815</x:v>
      </x:c>
      <x:c r="E119" s="24" t="n">
        <x:v>3821.6</x:v>
      </x:c>
      <x:c r="F119" s="24" t="n">
        <x:v>3800.6</x:v>
      </x:c>
      <x:c r="G119" s="24" t="n">
        <x:v>3805</x:v>
      </x:c>
      <x:c r="H119" s="24"/>
      <x:c r="I119" s="25" t="n">
        <x:v>-0.0011025937204661718</x:v>
      </x:c>
      <x:c r="J119" s="24" t="n">
        <x:f>ROUND(E119-F119,1)</x:f>
        <x:v>21</x:v>
      </x:c>
      <x:c r="K119" s="23" t="str">
        <x:v>IF2506</x:v>
      </x:c>
    </x:row>
    <x:row r="120">
      <x:c r="A120" s="23" t="n">
        <x:v>18</x:v>
      </x:c>
      <x:c r="B120" s="23" t="str">
        <x:v>周四</x:v>
      </x:c>
      <x:c r="C120" s="23" t="str">
        <x:v>5月29日</x:v>
      </x:c>
      <x:c r="D120" s="24" t="n">
        <x:v>3814.6</x:v>
      </x:c>
      <x:c r="E120" s="24" t="n">
        <x:v>3853.6</x:v>
      </x:c>
      <x:c r="F120" s="24" t="n">
        <x:v>3803</x:v>
      </x:c>
      <x:c r="G120" s="24" t="n">
        <x:v>3832.8</x:v>
      </x:c>
      <x:c r="H120" s="24"/>
      <x:c r="I120" s="25" t="n">
        <x:v>0.007306176084100002</x:v>
      </x:c>
      <x:c r="J120" s="24" t="n">
        <x:f>ROUND(E120-F120,1)</x:f>
        <x:v>50.6</x:v>
      </x:c>
      <x:c r="K120" s="23" t="str">
        <x:v>IF2506</x:v>
      </x:c>
    </x:row>
    <x:row r="121">
      <x:c r="A121" s="23" t="n">
        <x:v>19</x:v>
      </x:c>
      <x:c r="B121" s="23" t="str">
        <x:v>周五</x:v>
      </x:c>
      <x:c r="C121" s="23" t="str">
        <x:v>5月30日</x:v>
      </x:c>
      <x:c r="D121" s="24" t="n">
        <x:v>3825</x:v>
      </x:c>
      <x:c r="E121" s="24" t="n">
        <x:v>3830.8</x:v>
      </x:c>
      <x:c r="F121" s="24" t="n">
        <x:v>3792</x:v>
      </x:c>
      <x:c r="G121" s="24" t="n">
        <x:v>3822.4</x:v>
      </x:c>
      <x:c r="H121" s="24"/>
      <x:c r="I121" s="25" t="n">
        <x:v>-0.002713420997703997</x:v>
      </x:c>
      <x:c r="J121" s="24" t="n">
        <x:f>ROUND(E121-F121,1)</x:f>
        <x:v>38.8</x:v>
      </x:c>
      <x:c r="K121" s="23" t="str">
        <x:v>IF2506</x:v>
      </x:c>
    </x:row>
    <x:row r="122">
      <x:c r="A122" s="38" t="str">
        <x:v>合计</x:v>
      </x:c>
      <x:c r="B122" s="37" t="n">
        <x:v>19</x:v>
      </x:c>
      <x:c r="C122" s="37"/>
      <x:c r="D122" s="37"/>
      <x:c r="E122" s="37"/>
      <x:c r="F122" s="37"/>
      <x:c r="G122" s="37"/>
      <x:c r="H122" s="37"/>
      <x:c r="I122" s="37"/>
      <x:c r="J122" s="39" t="n">
        <x:f>ROUND(SUM(J103:J121),1)</x:f>
        <x:v>778.2</x:v>
      </x:c>
      <x:c r="K122" s="37"/>
    </x:row>
    <x:row r="123">
      <x:c r="A123" s="38" t="str">
        <x:v>均值</x:v>
      </x:c>
      <x:c r="B123" s="37"/>
      <x:c r="C123" s="37"/>
      <x:c r="D123" s="37"/>
      <x:c r="E123" s="37"/>
      <x:c r="F123" s="37"/>
      <x:c r="G123" s="37"/>
      <x:c r="H123" s="37"/>
      <x:c r="I123" s="37"/>
      <x:c r="J123" s="41" t="n">
        <x:f>ROUND(IFERROR(AVERAGE(J103:J121),0),1)</x:f>
        <x:v>41</x:v>
      </x:c>
      <x:c r="K123" s="37"/>
    </x:row>
    <x:row r="125">
      <x:c r="A125" s="17" t="str">
        <x:v>6月</x:v>
      </x:c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</x:row>
    <x:row r="126">
      <x:c r="A126" s="20" t="str">
        <x:v>序号</x:v>
      </x:c>
      <x:c r="B126" s="20" t="str">
        <x:v>星期</x:v>
      </x:c>
      <x:c r="C126" s="20" t="str">
        <x:v>日期</x:v>
      </x:c>
      <x:c r="D126" s="20" t="str">
        <x:v>开盘</x:v>
      </x:c>
      <x:c r="E126" s="20" t="str">
        <x:v>高点</x:v>
      </x:c>
      <x:c r="F126" s="20" t="str">
        <x:v>低点</x:v>
      </x:c>
      <x:c r="G126" s="20" t="str">
        <x:v>收盘</x:v>
      </x:c>
      <x:c r="H126" s="20" t="str">
        <x:v>涨跌点数</x:v>
      </x:c>
      <x:c r="I126" s="20" t="str">
        <x:v>涨幅</x:v>
      </x:c>
      <x:c r="J126" s="20" t="str">
        <x:v>振幅</x:v>
      </x:c>
      <x:c r="K126" s="20" t="str">
        <x:v>标的</x:v>
      </x:c>
    </x:row>
    <x:row r="127">
      <x:c r="A127" s="23" t="n">
        <x:v>1</x:v>
      </x:c>
      <x:c r="B127" s="23" t="str">
        <x:v>周二</x:v>
      </x:c>
      <x:c r="C127" s="23" t="str">
        <x:v>6月3日</x:v>
      </x:c>
      <x:c r="D127" s="24" t="n">
        <x:v>3815.8</x:v>
      </x:c>
      <x:c r="E127" s="24" t="n">
        <x:v>3841.4</x:v>
      </x:c>
      <x:c r="F127" s="24" t="n">
        <x:v>3808.2</x:v>
      </x:c>
      <x:c r="G127" s="24" t="n">
        <x:v>3824.8</x:v>
      </x:c>
      <x:c r="H127" s="24"/>
      <x:c r="I127" s="25" t="n">
        <x:v>0.0006278777731267837</x:v>
      </x:c>
      <x:c r="J127" s="24" t="n">
        <x:f>ROUND(E127-F127,1)</x:f>
        <x:v>33.2</x:v>
      </x:c>
      <x:c r="K127" s="23" t="str">
        <x:v>IF2506</x:v>
      </x:c>
    </x:row>
    <x:row r="128">
      <x:c r="A128" s="23" t="n">
        <x:v>2</x:v>
      </x:c>
      <x:c r="B128" s="23" t="str">
        <x:v>周三</x:v>
      </x:c>
      <x:c r="C128" s="23" t="str">
        <x:v>6月4日</x:v>
      </x:c>
      <x:c r="D128" s="24" t="n">
        <x:v>3829.6</x:v>
      </x:c>
      <x:c r="E128" s="24" t="n">
        <x:v>3855.6</x:v>
      </x:c>
      <x:c r="F128" s="24" t="n">
        <x:v>3827.2</x:v>
      </x:c>
      <x:c r="G128" s="24" t="n">
        <x:v>3842.4</x:v>
      </x:c>
      <x:c r="H128" s="24"/>
      <x:c r="I128" s="25" t="n">
        <x:v>0.004601547793348537</x:v>
      </x:c>
      <x:c r="J128" s="24" t="n">
        <x:f>ROUND(E128-F128,1)</x:f>
        <x:v>28.4</x:v>
      </x:c>
      <x:c r="K128" s="23" t="str">
        <x:v>IF2506</x:v>
      </x:c>
    </x:row>
    <x:row r="129">
      <x:c r="A129" s="23" t="n">
        <x:v>3</x:v>
      </x:c>
      <x:c r="B129" s="23" t="str">
        <x:v>周四</x:v>
      </x:c>
      <x:c r="C129" s="23" t="str">
        <x:v>6月5日</x:v>
      </x:c>
      <x:c r="D129" s="24" t="n">
        <x:v>3848</x:v>
      </x:c>
      <x:c r="E129" s="24" t="n">
        <x:v>3865</x:v>
      </x:c>
      <x:c r="F129" s="24" t="n">
        <x:v>3835</x:v>
      </x:c>
      <x:c r="G129" s="24" t="n">
        <x:v>3852</x:v>
      </x:c>
      <x:c r="H129" s="24"/>
      <x:c r="I129" s="25" t="n">
        <x:v>0.002498438475952547</x:v>
      </x:c>
      <x:c r="J129" s="24" t="n">
        <x:f>ROUND(E129-F129,1)</x:f>
        <x:v>30</x:v>
      </x:c>
      <x:c r="K129" s="23" t="str">
        <x:v>IF2506</x:v>
      </x:c>
    </x:row>
    <x:row r="130">
      <x:c r="A130" s="23" t="n">
        <x:v>4</x:v>
      </x:c>
      <x:c r="B130" s="23" t="str">
        <x:v>周五</x:v>
      </x:c>
      <x:c r="C130" s="23" t="str">
        <x:v>6月6日</x:v>
      </x:c>
      <x:c r="D130" s="24" t="n">
        <x:v>3857</x:v>
      </x:c>
      <x:c r="E130" s="24" t="n">
        <x:v>3870.4</x:v>
      </x:c>
      <x:c r="F130" s="24" t="n">
        <x:v>3846.8</x:v>
      </x:c>
      <x:c r="G130" s="24" t="n">
        <x:v>3855.4</x:v>
      </x:c>
      <x:c r="H130" s="24"/>
      <x:c r="I130" s="25" t="n">
        <x:v>0.0008826583592937975</x:v>
      </x:c>
      <x:c r="J130" s="24" t="n">
        <x:f>ROUND(E130-F130,1)</x:f>
        <x:v>23.6</x:v>
      </x:c>
      <x:c r="K130" s="23" t="str">
        <x:v>IF2506</x:v>
      </x:c>
    </x:row>
    <x:row r="131">
      <x:c r="A131" s="23" t="n">
        <x:v>5</x:v>
      </x:c>
      <x:c r="B131" s="23" t="str">
        <x:v>周一</x:v>
      </x:c>
      <x:c r="C131" s="23" t="str">
        <x:v>6月9日</x:v>
      </x:c>
      <x:c r="D131" s="24" t="n">
        <x:v>3862</x:v>
      </x:c>
      <x:c r="E131" s="24" t="n">
        <x:v>3883.6</x:v>
      </x:c>
      <x:c r="F131" s="24" t="n">
        <x:v>3855.2</x:v>
      </x:c>
      <x:c r="G131" s="24" t="n">
        <x:v>3867.8</x:v>
      </x:c>
      <x:c r="H131" s="24"/>
      <x:c r="I131" s="25" t="n">
        <x:v>0.00321626809150799</x:v>
      </x:c>
      <x:c r="J131" s="24" t="n">
        <x:f>ROUND(E131-F131,1)</x:f>
        <x:v>28.4</x:v>
      </x:c>
      <x:c r="K131" s="23" t="str">
        <x:v>IF2506</x:v>
      </x:c>
    </x:row>
    <x:row r="132">
      <x:c r="A132" s="23" t="n">
        <x:v>6</x:v>
      </x:c>
      <x:c r="B132" s="23" t="str">
        <x:v>周二</x:v>
      </x:c>
      <x:c r="C132" s="23" t="str">
        <x:v>6月10日</x:v>
      </x:c>
      <x:c r="D132" s="24" t="n">
        <x:v>3870</x:v>
      </x:c>
      <x:c r="E132" s="24" t="n">
        <x:v>3878.8</x:v>
      </x:c>
      <x:c r="F132" s="24" t="n">
        <x:v>3830</x:v>
      </x:c>
      <x:c r="G132" s="24" t="n">
        <x:v>3841</x:v>
      </x:c>
      <x:c r="H132" s="24"/>
      <x:c r="I132" s="25" t="n">
        <x:v>-0.006929003567919811</x:v>
      </x:c>
      <x:c r="J132" s="24" t="n">
        <x:f>ROUND(E132-F132,1)</x:f>
        <x:v>48.8</x:v>
      </x:c>
      <x:c r="K132" s="23" t="str">
        <x:v>IF2506</x:v>
      </x:c>
    </x:row>
    <x:row r="133">
      <x:c r="A133" s="23" t="n">
        <x:v>7</x:v>
      </x:c>
      <x:c r="B133" s="23" t="str">
        <x:v>周三</x:v>
      </x:c>
      <x:c r="C133" s="23" t="str">
        <x:v>6月11日</x:v>
      </x:c>
      <x:c r="D133" s="24" t="n">
        <x:v>3848.8</x:v>
      </x:c>
      <x:c r="E133" s="24" t="n">
        <x:v>3902.6</x:v>
      </x:c>
      <x:c r="F133" s="24" t="n">
        <x:v>3848.6</x:v>
      </x:c>
      <x:c r="G133" s="24" t="n">
        <x:v>3878.8</x:v>
      </x:c>
      <x:c r="H133" s="24"/>
      <x:c r="I133" s="25" t="n">
        <x:v>0.00984118719083571</x:v>
      </x:c>
      <x:c r="J133" s="24" t="n">
        <x:f>ROUND(E133-F133,1)</x:f>
        <x:v>54</x:v>
      </x:c>
      <x:c r="K133" s="23" t="str">
        <x:v>IF2506</x:v>
      </x:c>
    </x:row>
    <x:row r="134">
      <x:c r="A134" s="23" t="n">
        <x:v>8</x:v>
      </x:c>
      <x:c r="B134" s="23" t="str">
        <x:v>周四</x:v>
      </x:c>
      <x:c r="C134" s="23" t="str">
        <x:v>6月12日</x:v>
      </x:c>
      <x:c r="D134" s="24" t="n">
        <x:v>3870.2</x:v>
      </x:c>
      <x:c r="E134" s="24" t="n">
        <x:v>3889.8</x:v>
      </x:c>
      <x:c r="F134" s="24" t="n">
        <x:v>3854.2</x:v>
      </x:c>
      <x:c r="G134" s="24" t="n">
        <x:v>3883.6</x:v>
      </x:c>
      <x:c r="H134" s="24"/>
      <x:c r="I134" s="25" t="n">
        <x:v>0.0012374961328245337</x:v>
      </x:c>
      <x:c r="J134" s="24" t="n">
        <x:f>ROUND(E134-F134,1)</x:f>
        <x:v>35.6</x:v>
      </x:c>
      <x:c r="K134" s="23" t="str">
        <x:v>IF2506</x:v>
      </x:c>
    </x:row>
    <x:row r="135">
      <x:c r="A135" s="23" t="n">
        <x:v>9</x:v>
      </x:c>
      <x:c r="B135" s="23" t="str">
        <x:v>周五</x:v>
      </x:c>
      <x:c r="C135" s="23" t="str">
        <x:v>6月13日</x:v>
      </x:c>
      <x:c r="D135" s="24" t="n">
        <x:v>3874</x:v>
      </x:c>
      <x:c r="E135" s="24" t="n">
        <x:v>3878</x:v>
      </x:c>
      <x:c r="F135" s="24" t="n">
        <x:v>3840.2</x:v>
      </x:c>
      <x:c r="G135" s="24" t="n">
        <x:v>3856.4</x:v>
      </x:c>
      <x:c r="H135" s="24"/>
      <x:c r="I135" s="25" t="n">
        <x:v>-0.007003810897105778</x:v>
      </x:c>
      <x:c r="J135" s="24" t="n">
        <x:f>ROUND(E135-F135,1)</x:f>
        <x:v>37.8</x:v>
      </x:c>
      <x:c r="K135" s="23" t="str">
        <x:v>IF2506</x:v>
      </x:c>
    </x:row>
    <x:row r="136">
      <x:c r="A136" s="23" t="n">
        <x:v>10</x:v>
      </x:c>
      <x:c r="B136" s="23" t="str">
        <x:v>周一</x:v>
      </x:c>
      <x:c r="C136" s="23" t="str">
        <x:v>6月16日</x:v>
      </x:c>
      <x:c r="D136" s="24" t="n">
        <x:v>3848</x:v>
      </x:c>
      <x:c r="E136" s="24" t="n">
        <x:v>3874.4</x:v>
      </x:c>
      <x:c r="F136" s="24" t="n">
        <x:v>3847.6</x:v>
      </x:c>
      <x:c r="G136" s="24" t="n">
        <x:v>3869.8</x:v>
      </x:c>
      <x:c r="H136" s="24"/>
      <x:c r="I136" s="25" t="n">
        <x:v>0.003474743283891746</x:v>
      </x:c>
      <x:c r="J136" s="24" t="n">
        <x:f>ROUND(E136-F136,1)</x:f>
        <x:v>26.8</x:v>
      </x:c>
      <x:c r="K136" s="23" t="str">
        <x:v>IF2506</x:v>
      </x:c>
    </x:row>
    <x:row r="137">
      <x:c r="A137" s="23" t="n">
        <x:v>11</x:v>
      </x:c>
      <x:c r="B137" s="23" t="str">
        <x:v>周二</x:v>
      </x:c>
      <x:c r="C137" s="23" t="str">
        <x:v>6月17日</x:v>
      </x:c>
      <x:c r="D137" s="24" t="n">
        <x:v>3870.2</x:v>
      </x:c>
      <x:c r="E137" s="24" t="n">
        <x:v>3877.4</x:v>
      </x:c>
      <x:c r="F137" s="24" t="n">
        <x:v>3853</x:v>
      </x:c>
      <x:c r="G137" s="24" t="n">
        <x:v>3868.6</x:v>
      </x:c>
      <x:c r="H137" s="24"/>
      <x:c r="I137" s="25" t="n">
        <x:v>-0.01824383689079545</x:v>
      </x:c>
      <x:c r="J137" s="24" t="n">
        <x:f>ROUND(E137-F137,1)</x:f>
        <x:v>24.4</x:v>
      </x:c>
      <x:c r="K137" s="23" t="str">
        <x:v>IF2506</x:v>
      </x:c>
    </x:row>
    <x:row r="138">
      <x:c r="A138" s="23" t="n">
        <x:v>12</x:v>
      </x:c>
      <x:c r="B138" s="23" t="str">
        <x:v>周三</x:v>
      </x:c>
      <x:c r="C138" s="23" t="str">
        <x:v>6月18日</x:v>
      </x:c>
      <x:c r="D138" s="24" t="n">
        <x:v>3868.8</x:v>
      </x:c>
      <x:c r="E138" s="24" t="n">
        <x:v>3879.2</x:v>
      </x:c>
      <x:c r="F138" s="24" t="n">
        <x:v>3849.2</x:v>
      </x:c>
      <x:c r="G138" s="24" t="n">
        <x:v>3872.2</x:v>
      </x:c>
      <x:c r="H138" s="24"/>
      <x:c r="I138" s="25" t="n">
        <x:v>0.0006317119393557391</x:v>
      </x:c>
      <x:c r="J138" s="24" t="n">
        <x:f>ROUND(E138-F138,1)</x:f>
        <x:v>30</x:v>
      </x:c>
      <x:c r="K138" s="23" t="str">
        <x:v>IF2506</x:v>
      </x:c>
    </x:row>
    <x:row r="139">
      <x:c r="A139" s="23" t="n">
        <x:v>13</x:v>
      </x:c>
      <x:c r="B139" s="23" t="str">
        <x:v>周四</x:v>
      </x:c>
      <x:c r="C139" s="23" t="str">
        <x:v>6月19日</x:v>
      </x:c>
      <x:c r="D139" s="24" t="n">
        <x:v>3866.8</x:v>
      </x:c>
      <x:c r="E139" s="24" t="n">
        <x:v>3867.4</x:v>
      </x:c>
      <x:c r="F139" s="24" t="n">
        <x:v>3830</x:v>
      </x:c>
      <x:c r="G139" s="24" t="n">
        <x:v>3840.4</x:v>
      </x:c>
      <x:c r="H139" s="24"/>
      <x:c r="I139" s="25" t="n">
        <x:v>-0.009364478114478048</x:v>
      </x:c>
      <x:c r="J139" s="24" t="n">
        <x:f>ROUND(E139-F139,1)</x:f>
        <x:v>37.4</x:v>
      </x:c>
      <x:c r="K139" s="23" t="str">
        <x:v>IF2506</x:v>
      </x:c>
    </x:row>
    <x:row r="140">
      <x:c r="A140" s="33" t="n">
        <x:v>14</x:v>
      </x:c>
      <x:c r="B140" s="33" t="str">
        <x:v>周五</x:v>
      </x:c>
      <x:c r="C140" s="33" t="str">
        <x:v>6月20日</x:v>
      </x:c>
      <x:c r="D140" s="34" t="n">
        <x:v>3841</x:v>
      </x:c>
      <x:c r="E140" s="34" t="n">
        <x:v>3856</x:v>
      </x:c>
      <x:c r="F140" s="34" t="n">
        <x:v>3841</x:v>
      </x:c>
      <x:c r="G140" s="34" t="n">
        <x:v>3849.2</x:v>
      </x:c>
      <x:c r="H140" s="34"/>
      <x:c r="I140" s="35" t="n">
        <x:v>0.0020180562931491064</x:v>
      </x:c>
      <x:c r="J140" s="34" t="n">
        <x:f>ROUND(E140-F140,1)</x:f>
        <x:v>15</x:v>
      </x:c>
      <x:c r="K140" s="33" t="str">
        <x:v>IF2506</x:v>
      </x:c>
    </x:row>
    <x:row r="141">
      <x:c r="A141" s="23" t="n">
        <x:v>15</x:v>
      </x:c>
      <x:c r="B141" s="23" t="str">
        <x:v>周一</x:v>
      </x:c>
      <x:c r="C141" s="23" t="str">
        <x:v>6月23日</x:v>
      </x:c>
      <x:c r="D141" s="24" t="n">
        <x:v>3765</x:v>
      </x:c>
      <x:c r="E141" s="24" t="n">
        <x:v>3809.8</x:v>
      </x:c>
      <x:c r="F141" s="24" t="n">
        <x:v>3760.6</x:v>
      </x:c>
      <x:c r="G141" s="24" t="n">
        <x:v>3797.4</x:v>
      </x:c>
      <x:c r="H141" s="24"/>
      <x:c r="I141" s="25" t="n">
        <x:v>0.0063069747721009595</x:v>
      </x:c>
      <x:c r="J141" s="24" t="n">
        <x:f>ROUND(E141-F141,1)</x:f>
        <x:v>49.2</x:v>
      </x:c>
      <x:c r="K141" s="23" t="str">
        <x:v>IF2509</x:v>
      </x:c>
    </x:row>
    <x:row r="142">
      <x:c r="A142" s="23" t="n">
        <x:v>16</x:v>
      </x:c>
      <x:c r="B142" s="23" t="str">
        <x:v>周二</x:v>
      </x:c>
      <x:c r="C142" s="23" t="str">
        <x:v>6月24日</x:v>
      </x:c>
      <x:c r="D142" s="24" t="n">
        <x:v>3804.6</x:v>
      </x:c>
      <x:c r="E142" s="24" t="n">
        <x:v>3872</x:v>
      </x:c>
      <x:c r="F142" s="24" t="n">
        <x:v>3804</x:v>
      </x:c>
      <x:c r="G142" s="24" t="n">
        <x:v>3852.4</x:v>
      </x:c>
      <x:c r="H142" s="24"/>
      <x:c r="I142" s="25" t="n">
        <x:v>0.014483594038026126</x:v>
      </x:c>
      <x:c r="J142" s="24" t="n">
        <x:f>ROUND(E142-F142,1)</x:f>
        <x:v>68</x:v>
      </x:c>
      <x:c r="K142" s="23" t="str">
        <x:v>IF2509</x:v>
      </x:c>
    </x:row>
    <x:row r="143">
      <x:c r="A143" s="23" t="n">
        <x:v>17</x:v>
      </x:c>
      <x:c r="B143" s="23" t="str">
        <x:v>周三</x:v>
      </x:c>
      <x:c r="C143" s="23" t="str">
        <x:v>6月25日</x:v>
      </x:c>
      <x:c r="D143" s="24" t="n">
        <x:v>3856</x:v>
      </x:c>
      <x:c r="E143" s="24" t="n">
        <x:v>3928</x:v>
      </x:c>
      <x:c r="F143" s="24" t="n">
        <x:v>3851.2</x:v>
      </x:c>
      <x:c r="G143" s="24" t="n">
        <x:v>3922.8</x:v>
      </x:c>
      <x:c r="H143" s="24"/>
      <x:c r="I143" s="25" t="n">
        <x:v>0.01827432250025951</x:v>
      </x:c>
      <x:c r="J143" s="24" t="n">
        <x:f>ROUND(E143-F143,1)</x:f>
        <x:v>76.8</x:v>
      </x:c>
      <x:c r="K143" s="23" t="str">
        <x:v>IF2509</x:v>
      </x:c>
    </x:row>
    <x:row r="144">
      <x:c r="A144" s="23" t="n">
        <x:v>18</x:v>
      </x:c>
      <x:c r="B144" s="23" t="str">
        <x:v>周四</x:v>
      </x:c>
      <x:c r="C144" s="23" t="str">
        <x:v>6月26日</x:v>
      </x:c>
      <x:c r="D144" s="24" t="n">
        <x:v>3915.2</x:v>
      </x:c>
      <x:c r="E144" s="24" t="n">
        <x:v>3925</x:v>
      </x:c>
      <x:c r="F144" s="24" t="n">
        <x:v>3901.2</x:v>
      </x:c>
      <x:c r="G144" s="24" t="n">
        <x:v>3904.2</x:v>
      </x:c>
      <x:c r="H144" s="24"/>
      <x:c r="I144" s="25" t="n">
        <x:v>-0.00474151116549415</x:v>
      </x:c>
      <x:c r="J144" s="24" t="n">
        <x:f>ROUND(E144-F144,1)</x:f>
        <x:v>23.8</x:v>
      </x:c>
      <x:c r="K144" s="23" t="str">
        <x:v>IF2509</x:v>
      </x:c>
    </x:row>
    <x:row r="145">
      <x:c r="A145" s="23" t="n">
        <x:v>19</x:v>
      </x:c>
      <x:c r="B145" s="23" t="str">
        <x:v>周五</x:v>
      </x:c>
      <x:c r="C145" s="23" t="str">
        <x:v>6月27日</x:v>
      </x:c>
      <x:c r="D145" s="24" t="n">
        <x:v>3911</x:v>
      </x:c>
      <x:c r="E145" s="24" t="n">
        <x:v>3931.4</x:v>
      </x:c>
      <x:c r="F145" s="24" t="n">
        <x:v>3874</x:v>
      </x:c>
      <x:c r="G145" s="24" t="n">
        <x:v>3876.6</x:v>
      </x:c>
      <x:c r="H145" s="24"/>
      <x:c r="I145" s="25" t="n">
        <x:v>-0.007069309973874227</x:v>
      </x:c>
      <x:c r="J145" s="24" t="n">
        <x:f>ROUND(E145-F145,1)</x:f>
        <x:v>57.4</x:v>
      </x:c>
      <x:c r="K145" s="23" t="str">
        <x:v>IF2509</x:v>
      </x:c>
    </x:row>
    <x:row r="146">
      <x:c r="A146" s="23" t="n">
        <x:v>20</x:v>
      </x:c>
      <x:c r="B146" s="23" t="str">
        <x:v>周一</x:v>
      </x:c>
      <x:c r="C146" s="23" t="str">
        <x:v>6月30日</x:v>
      </x:c>
      <x:c r="D146" s="24" t="n">
        <x:v>3881.2</x:v>
      </x:c>
      <x:c r="E146" s="24" t="n">
        <x:v>3893</x:v>
      </x:c>
      <x:c r="F146" s="24" t="n">
        <x:v>3867</x:v>
      </x:c>
      <x:c r="G146" s="24" t="n">
        <x:v>3885.8</x:v>
      </x:c>
      <x:c r="H146" s="24"/>
      <x:c r="I146" s="25" t="n">
        <x:v>0.002373213640819438</x:v>
      </x:c>
      <x:c r="J146" s="24" t="n">
        <x:f>ROUND(E146-F146,1)</x:f>
        <x:v>26</x:v>
      </x:c>
      <x:c r="K146" s="23" t="str">
        <x:v>IF2509</x:v>
      </x:c>
    </x:row>
    <x:row r="147">
      <x:c r="A147" s="38" t="str">
        <x:v>合计</x:v>
      </x:c>
      <x:c r="B147" s="37" t="n">
        <x:v>20</x:v>
      </x:c>
      <x:c r="C147" s="37"/>
      <x:c r="D147" s="37"/>
      <x:c r="E147" s="37"/>
      <x:c r="F147" s="37"/>
      <x:c r="G147" s="37"/>
      <x:c r="H147" s="37"/>
      <x:c r="I147" s="37"/>
      <x:c r="J147" s="39" t="n">
        <x:f>ROUND(SUM(J127:J146),1)</x:f>
        <x:v>754.6</x:v>
      </x:c>
      <x:c r="K147" s="37"/>
    </x:row>
    <x:row r="148">
      <x:c r="A148" s="38" t="str">
        <x:v>均值</x:v>
      </x:c>
      <x:c r="B148" s="37"/>
      <x:c r="C148" s="37"/>
      <x:c r="D148" s="37"/>
      <x:c r="E148" s="37"/>
      <x:c r="F148" s="37"/>
      <x:c r="G148" s="37"/>
      <x:c r="H148" s="37"/>
      <x:c r="I148" s="37"/>
      <x:c r="J148" s="41" t="n">
        <x:f>ROUND(IFERROR(AVERAGE(J127:J146),0),1)</x:f>
        <x:v>37.7</x:v>
      </x:c>
      <x:c r="K148" s="37"/>
    </x:row>
    <x:row r="150">
      <x:c r="A150" s="17" t="str">
        <x:v>7月</x:v>
      </x:c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</x:row>
    <x:row r="151">
      <x:c r="A151" s="20" t="str">
        <x:v>序号</x:v>
      </x:c>
      <x:c r="B151" s="20" t="str">
        <x:v>星期</x:v>
      </x:c>
      <x:c r="C151" s="20" t="str">
        <x:v>日期</x:v>
      </x:c>
      <x:c r="D151" s="20" t="str">
        <x:v>开盘</x:v>
      </x:c>
      <x:c r="E151" s="20" t="str">
        <x:v>高点</x:v>
      </x:c>
      <x:c r="F151" s="20" t="str">
        <x:v>低点</x:v>
      </x:c>
      <x:c r="G151" s="20" t="str">
        <x:v>收盘</x:v>
      </x:c>
      <x:c r="H151" s="20" t="str">
        <x:v>涨跌点数</x:v>
      </x:c>
      <x:c r="I151" s="20" t="str">
        <x:v>涨幅</x:v>
      </x:c>
      <x:c r="J151" s="20" t="str">
        <x:v>振幅</x:v>
      </x:c>
      <x:c r="K151" s="20" t="str">
        <x:v>标的</x:v>
      </x:c>
    </x:row>
    <x:row r="152">
      <x:c r="A152" s="23" t="n">
        <x:v>1</x:v>
      </x:c>
      <x:c r="B152" s="23" t="str">
        <x:v>周二</x:v>
      </x:c>
      <x:c r="C152" s="23" t="str">
        <x:v>7月1日</x:v>
      </x:c>
      <x:c r="D152" s="24" t="n">
        <x:v>3889.2</x:v>
      </x:c>
      <x:c r="E152" s="24" t="n">
        <x:v>3895.6</x:v>
      </x:c>
      <x:c r="F152" s="24" t="n">
        <x:v>3867</x:v>
      </x:c>
      <x:c r="G152" s="24" t="n">
        <x:v>3886</x:v>
      </x:c>
      <x:c r="H152" s="24"/>
      <x:c r="I152" s="25" t="n">
        <x:v>0.00005146945287970439</x:v>
      </x:c>
      <x:c r="J152" s="24" t="n">
        <x:f>ROUND(E152-F152,1)</x:f>
        <x:v>28.6</x:v>
      </x:c>
      <x:c r="K152" s="23" t="str">
        <x:v>IF2509</x:v>
      </x:c>
    </x:row>
    <x:row r="153">
      <x:c r="A153" s="23" t="n">
        <x:v>2</x:v>
      </x:c>
      <x:c r="B153" s="23" t="str">
        <x:v>周三</x:v>
      </x:c>
      <x:c r="C153" s="23" t="str">
        <x:v>7月2日</x:v>
      </x:c>
      <x:c r="D153" s="24" t="n">
        <x:v>3890.2</x:v>
      </x:c>
      <x:c r="E153" s="24" t="n">
        <x:v>3899.6</x:v>
      </x:c>
      <x:c r="F153" s="24" t="n">
        <x:v>3872.2</x:v>
      </x:c>
      <x:c r="G153" s="24" t="n">
        <x:v>3894.2</x:v>
      </x:c>
      <x:c r="H153" s="24"/>
      <x:c r="I153" s="25" t="n">
        <x:v>0.0021101389603706</x:v>
      </x:c>
      <x:c r="J153" s="24" t="n">
        <x:f>ROUND(E153-F153,1)</x:f>
        <x:v>27.4</x:v>
      </x:c>
      <x:c r="K153" s="23" t="str">
        <x:v>IF2509</x:v>
      </x:c>
    </x:row>
    <x:row r="154">
      <x:c r="A154" s="23" t="n">
        <x:v>3</x:v>
      </x:c>
      <x:c r="B154" s="23" t="str">
        <x:v>周四</x:v>
      </x:c>
      <x:c r="C154" s="23" t="str">
        <x:v>7月3日</x:v>
      </x:c>
      <x:c r="D154" s="24" t="n">
        <x:v>3899.6</x:v>
      </x:c>
      <x:c r="E154" s="24" t="n">
        <x:v>3923.6</x:v>
      </x:c>
      <x:c r="F154" s="24" t="n">
        <x:v>3891</x:v>
      </x:c>
      <x:c r="G154" s="24" t="n">
        <x:v>3918</x:v>
      </x:c>
      <x:c r="H154" s="24"/>
      <x:c r="I154" s="25" t="n">
        <x:v>0.006111653227877323</x:v>
      </x:c>
      <x:c r="J154" s="24" t="n">
        <x:f>ROUND(E154-F154,1)</x:f>
        <x:v>32.6</x:v>
      </x:c>
      <x:c r="K154" s="23" t="str">
        <x:v>IF2509</x:v>
      </x:c>
    </x:row>
    <x:row r="155">
      <x:c r="A155" s="23" t="n">
        <x:v>4</x:v>
      </x:c>
      <x:c r="B155" s="23" t="str">
        <x:v>周五</x:v>
      </x:c>
      <x:c r="C155" s="23" t="str">
        <x:v>7月4日</x:v>
      </x:c>
      <x:c r="D155" s="24" t="n">
        <x:v>3918.2</x:v>
      </x:c>
      <x:c r="E155" s="24" t="n">
        <x:v>3974.2</x:v>
      </x:c>
      <x:c r="F155" s="24" t="n">
        <x:v>3905</x:v>
      </x:c>
      <x:c r="G155" s="24" t="n">
        <x:v>3936</x:v>
      </x:c>
      <x:c r="H155" s="24"/>
      <x:c r="I155" s="25" t="n">
        <x:v>0.004594180704440953</x:v>
      </x:c>
      <x:c r="J155" s="24" t="n">
        <x:f>ROUND(E155-F155,1)</x:f>
        <x:v>69.2</x:v>
      </x:c>
      <x:c r="K155" s="23" t="str">
        <x:v>IF2509</x:v>
      </x:c>
    </x:row>
    <x:row r="156">
      <x:c r="A156" s="23" t="n">
        <x:v>5</x:v>
      </x:c>
      <x:c r="B156" s="23" t="str">
        <x:v>周一</x:v>
      </x:c>
      <x:c r="C156" s="23" t="str">
        <x:v>7月7日</x:v>
      </x:c>
      <x:c r="D156" s="24" t="n">
        <x:v>3932.2</x:v>
      </x:c>
      <x:c r="E156" s="24" t="n">
        <x:v>3937.6</x:v>
      </x:c>
      <x:c r="F156" s="24" t="n">
        <x:v>3907</x:v>
      </x:c>
      <x:c r="G156" s="24" t="n">
        <x:v>3918</x:v>
      </x:c>
      <x:c r="H156" s="24"/>
      <x:c r="I156" s="25" t="n">
        <x:v>-0.004573170731707266</x:v>
      </x:c>
      <x:c r="J156" s="24" t="n">
        <x:f>ROUND(E156-F156,1)</x:f>
        <x:v>30.6</x:v>
      </x:c>
      <x:c r="K156" s="23" t="str">
        <x:v>IF2509</x:v>
      </x:c>
    </x:row>
    <x:row r="157">
      <x:c r="A157" s="23" t="n">
        <x:v>6</x:v>
      </x:c>
      <x:c r="B157" s="23" t="str">
        <x:v>周二</x:v>
      </x:c>
      <x:c r="C157" s="23" t="str">
        <x:v>7月8日</x:v>
      </x:c>
      <x:c r="D157" s="24" t="n">
        <x:v>3921.2</x:v>
      </x:c>
      <x:c r="E157" s="24" t="n">
        <x:v>3967.2</x:v>
      </x:c>
      <x:c r="F157" s="24" t="n">
        <x:v>3920.2</x:v>
      </x:c>
      <x:c r="G157" s="24" t="n">
        <x:v>3958.6</x:v>
      </x:c>
      <x:c r="H157" s="24"/>
      <x:c r="I157" s="25" t="n">
        <x:v>0.010362429811128004</x:v>
      </x:c>
      <x:c r="J157" s="24" t="n">
        <x:f>ROUND(E157-F157,1)</x:f>
        <x:v>47</x:v>
      </x:c>
      <x:c r="K157" s="23" t="str">
        <x:v>IF2509</x:v>
      </x:c>
    </x:row>
    <x:row r="158">
      <x:c r="A158" s="23" t="n">
        <x:v>7</x:v>
      </x:c>
      <x:c r="B158" s="23" t="str">
        <x:v>周三</x:v>
      </x:c>
      <x:c r="C158" s="23" t="str">
        <x:v>7月9日</x:v>
      </x:c>
      <x:c r="D158" s="24" t="n">
        <x:v>3958.6</x:v>
      </x:c>
      <x:c r="E158" s="24" t="n">
        <x:v>3978</x:v>
      </x:c>
      <x:c r="F158" s="24" t="n">
        <x:v>3948</x:v>
      </x:c>
      <x:c r="G158" s="24" t="n">
        <x:v>3952.8</x:v>
      </x:c>
      <x:c r="H158" s="24"/>
      <x:c r="I158" s="25" t="n">
        <x:v>-0.0014651644520790041</x:v>
      </x:c>
      <x:c r="J158" s="24" t="n">
        <x:f>ROUND(E158-F158,1)</x:f>
        <x:v>30</x:v>
      </x:c>
      <x:c r="K158" s="23" t="str">
        <x:v>IF2509</x:v>
      </x:c>
    </x:row>
    <x:row r="159">
      <x:c r="A159" s="23" t="n">
        <x:v>8</x:v>
      </x:c>
      <x:c r="B159" s="23" t="str">
        <x:v>周四</x:v>
      </x:c>
      <x:c r="C159" s="23" t="str">
        <x:v>7月10日</x:v>
      </x:c>
      <x:c r="D159" s="24" t="n">
        <x:v>3956.2</x:v>
      </x:c>
      <x:c r="E159" s="24" t="n">
        <x:v>3998.8</x:v>
      </x:c>
      <x:c r="F159" s="24" t="n">
        <x:v>3952</x:v>
      </x:c>
      <x:c r="G159" s="24" t="n">
        <x:v>3972</x:v>
      </x:c>
      <x:c r="H159" s="24"/>
      <x:c r="I159" s="25" t="n">
        <x:v>0.004857316332726125</x:v>
      </x:c>
      <x:c r="J159" s="24" t="n">
        <x:f>ROUND(E159-F159,1)</x:f>
        <x:v>46.8</x:v>
      </x:c>
      <x:c r="K159" s="23" t="str">
        <x:v>IF2509</x:v>
      </x:c>
    </x:row>
    <x:row r="160">
      <x:c r="A160" s="23" t="n">
        <x:v>9</x:v>
      </x:c>
      <x:c r="B160" s="23" t="str">
        <x:v>周五</x:v>
      </x:c>
      <x:c r="C160" s="23" t="str">
        <x:v>7月11日</x:v>
      </x:c>
      <x:c r="D160" s="24" t="n">
        <x:v>3977</x:v>
      </x:c>
      <x:c r="E160" s="24" t="n">
        <x:v>4045</x:v>
      </x:c>
      <x:c r="F160" s="24" t="n">
        <x:v>3971.2</x:v>
      </x:c>
      <x:c r="G160" s="24" t="n">
        <x:v>3993.4</x:v>
      </x:c>
      <x:c r="H160" s="24"/>
      <x:c r="I160" s="25" t="n">
        <x:v>0.005387713997985877</x:v>
      </x:c>
      <x:c r="J160" s="24" t="n">
        <x:f>ROUND(E160-F160,1)</x:f>
        <x:v>73.8</x:v>
      </x:c>
      <x:c r="K160" s="23" t="str">
        <x:v>IF2509</x:v>
      </x:c>
    </x:row>
    <x:row r="161">
      <x:c r="A161" s="23" t="n">
        <x:v>10</x:v>
      </x:c>
      <x:c r="B161" s="23" t="str">
        <x:v>周一</x:v>
      </x:c>
      <x:c r="C161" s="23" t="str">
        <x:v>7月14日</x:v>
      </x:c>
      <x:c r="D161" s="24" t="n">
        <x:v>3993.6</x:v>
      </x:c>
      <x:c r="E161" s="24" t="n">
        <x:v>4002.8</x:v>
      </x:c>
      <x:c r="F161" s="24" t="n">
        <x:v>3984.8</x:v>
      </x:c>
      <x:c r="G161" s="24" t="n">
        <x:v>3985.8</x:v>
      </x:c>
      <x:c r="H161" s="24"/>
      <x:c r="I161" s="25" t="n">
        <x:v>-0.0019031401812991122</x:v>
      </x:c>
      <x:c r="J161" s="24" t="n">
        <x:f>ROUND(E161-F161,1)</x:f>
        <x:v>18</x:v>
      </x:c>
      <x:c r="K161" s="23" t="str">
        <x:v>IF2509</x:v>
      </x:c>
    </x:row>
    <x:row r="162">
      <x:c r="A162" s="23" t="n">
        <x:v>11</x:v>
      </x:c>
      <x:c r="B162" s="23" t="str">
        <x:v>周二</x:v>
      </x:c>
      <x:c r="C162" s="23" t="str">
        <x:v>7月15日</x:v>
      </x:c>
      <x:c r="D162" s="24" t="n">
        <x:v>3991</x:v>
      </x:c>
      <x:c r="E162" s="24" t="n">
        <x:v>4012</x:v>
      </x:c>
      <x:c r="F162" s="24" t="n">
        <x:v>3952.6</x:v>
      </x:c>
      <x:c r="G162" s="24" t="n">
        <x:v>3980.6</x:v>
      </x:c>
      <x:c r="H162" s="24"/>
      <x:c r="I162" s="25" t="n">
        <x:v>-0.001304631441617854</x:v>
      </x:c>
      <x:c r="J162" s="24" t="n">
        <x:f>ROUND(E162-F162,1)</x:f>
        <x:v>59.4</x:v>
      </x:c>
      <x:c r="K162" s="23" t="str">
        <x:v>IF2509</x:v>
      </x:c>
    </x:row>
    <x:row r="163">
      <x:c r="A163" s="23" t="n">
        <x:v>12</x:v>
      </x:c>
      <x:c r="B163" s="23" t="str">
        <x:v>周三</x:v>
      </x:c>
      <x:c r="C163" s="23" t="str">
        <x:v>7月16日</x:v>
      </x:c>
      <x:c r="D163" s="24" t="n">
        <x:v>3981.2</x:v>
      </x:c>
      <x:c r="E163" s="24" t="n">
        <x:v>3998.6</x:v>
      </x:c>
      <x:c r="F163" s="24" t="n">
        <x:v>3958.8</x:v>
      </x:c>
      <x:c r="G163" s="24" t="n">
        <x:v>3971</x:v>
      </x:c>
      <x:c r="H163" s="24"/>
      <x:c r="I163" s="25" t="n">
        <x:v>-0.0024116967291363256</x:v>
      </x:c>
      <x:c r="J163" s="24" t="n">
        <x:f>ROUND(E163-F163,1)</x:f>
        <x:v>39.8</x:v>
      </x:c>
      <x:c r="K163" s="23" t="str">
        <x:v>IF2509</x:v>
      </x:c>
    </x:row>
    <x:row r="164">
      <x:c r="A164" s="23" t="n">
        <x:v>13</x:v>
      </x:c>
      <x:c r="B164" s="23" t="str">
        <x:v>周四</x:v>
      </x:c>
      <x:c r="C164" s="23" t="str">
        <x:v>7月17日</x:v>
      </x:c>
      <x:c r="D164" s="24" t="n">
        <x:v>3976</x:v>
      </x:c>
      <x:c r="E164" s="24" t="n">
        <x:v>4012</x:v>
      </x:c>
      <x:c r="F164" s="24" t="n">
        <x:v>3972.2</x:v>
      </x:c>
      <x:c r="G164" s="24" t="n">
        <x:v>4011.8</x:v>
      </x:c>
      <x:c r="H164" s="24"/>
      <x:c r="I164" s="25" t="n">
        <x:v>0.0102744900528835</x:v>
      </x:c>
      <x:c r="J164" s="24" t="n">
        <x:f>ROUND(E164-F164,1)</x:f>
        <x:v>39.8</x:v>
      </x:c>
      <x:c r="K164" s="23" t="str">
        <x:v>IF2509</x:v>
      </x:c>
    </x:row>
    <x:row r="165">
      <x:c r="A165" s="33" t="n">
        <x:v>14</x:v>
      </x:c>
      <x:c r="B165" s="33" t="str">
        <x:v>周五</x:v>
      </x:c>
      <x:c r="C165" s="33" t="str">
        <x:v>7月18日</x:v>
      </x:c>
      <x:c r="D165" s="34" t="n">
        <x:v>4018.8</x:v>
      </x:c>
      <x:c r="E165" s="34" t="n">
        <x:v>4046</x:v>
      </x:c>
      <x:c r="F165" s="34" t="n">
        <x:v>4015.2</x:v>
      </x:c>
      <x:c r="G165" s="34" t="n">
        <x:v>4041.8</x:v>
      </x:c>
      <x:c r="H165" s="34"/>
      <x:c r="I165" s="35" t="n">
        <x:v>0.007477940076773493</x:v>
      </x:c>
      <x:c r="J165" s="34" t="n">
        <x:f>ROUND(E165-F165,1)</x:f>
        <x:v>30.8</x:v>
      </x:c>
      <x:c r="K165" s="33" t="str">
        <x:v>IF2509</x:v>
      </x:c>
    </x:row>
    <x:row r="166">
      <x:c r="A166" s="23" t="n">
        <x:v>15</x:v>
      </x:c>
      <x:c r="B166" s="23" t="str">
        <x:v>周一</x:v>
      </x:c>
      <x:c r="C166" s="23" t="str">
        <x:v>7月21日</x:v>
      </x:c>
      <x:c r="D166" s="24" t="n">
        <x:v>4055.2</x:v>
      </x:c>
      <x:c r="E166" s="24" t="n">
        <x:v>4070.8</x:v>
      </x:c>
      <x:c r="F166" s="24" t="n">
        <x:v>4044.6</x:v>
      </x:c>
      <x:c r="G166" s="24" t="n">
        <x:v>4064.8</x:v>
      </x:c>
      <x:c r="H166" s="24"/>
      <x:c r="I166" s="25" t="n">
        <x:v>0.005690533920530427</x:v>
      </x:c>
      <x:c r="J166" s="24" t="n">
        <x:f>ROUND(E166-F166,1)</x:f>
        <x:v>26.2</x:v>
      </x:c>
      <x:c r="K166" s="23" t="str">
        <x:v>IF2509</x:v>
      </x:c>
    </x:row>
    <x:row r="167">
      <x:c r="A167" s="23" t="n">
        <x:v>16</x:v>
      </x:c>
      <x:c r="B167" s="23" t="str">
        <x:v>周二</x:v>
      </x:c>
      <x:c r="C167" s="23" t="str">
        <x:v>7月22日</x:v>
      </x:c>
      <x:c r="D167" s="24" t="n">
        <x:v>4067</x:v>
      </x:c>
      <x:c r="E167" s="24" t="n">
        <x:v>4110.8</x:v>
      </x:c>
      <x:c r="F167" s="24" t="n">
        <x:v>4051</x:v>
      </x:c>
      <x:c r="G167" s="24" t="n">
        <x:v>4109.8</x:v>
      </x:c>
      <x:c r="H167" s="24"/>
      <x:c r="I167" s="25" t="n">
        <x:v>0.011070655382798611</x:v>
      </x:c>
      <x:c r="J167" s="24" t="n">
        <x:f>ROUND(E167-F167,1)</x:f>
        <x:v>59.8</x:v>
      </x:c>
      <x:c r="K167" s="23" t="str">
        <x:v>IF2509</x:v>
      </x:c>
    </x:row>
    <x:row r="168">
      <x:c r="A168" s="23" t="n">
        <x:v>17</x:v>
      </x:c>
      <x:c r="B168" s="23" t="str">
        <x:v>周三</x:v>
      </x:c>
      <x:c r="C168" s="23" t="str">
        <x:v>7月23日</x:v>
      </x:c>
      <x:c r="D168" s="24" t="n">
        <x:v>4117</x:v>
      </x:c>
      <x:c r="E168" s="24" t="n">
        <x:v>4146.6</x:v>
      </x:c>
      <x:c r="F168" s="24" t="n">
        <x:v>4097.2</x:v>
      </x:c>
      <x:c r="G168" s="24" t="n">
        <x:v>4109.2</x:v>
      </x:c>
      <x:c r="H168" s="24"/>
      <x:c r="I168" s="25" t="n">
        <x:v>-0.00014599250571811773</x:v>
      </x:c>
      <x:c r="J168" s="24" t="n">
        <x:f>ROUND(E168-F168,1)</x:f>
        <x:v>49.4</x:v>
      </x:c>
      <x:c r="K168" s="23" t="str">
        <x:v>IF2509</x:v>
      </x:c>
    </x:row>
    <x:row r="169">
      <x:c r="A169" s="23" t="n">
        <x:v>18</x:v>
      </x:c>
      <x:c r="B169" s="23" t="str">
        <x:v>周四</x:v>
      </x:c>
      <x:c r="C169" s="23" t="str">
        <x:v>7月24日</x:v>
      </x:c>
      <x:c r="D169" s="24" t="n">
        <x:v>4103</x:v>
      </x:c>
      <x:c r="E169" s="24" t="n">
        <x:v>4144.6</x:v>
      </x:c>
      <x:c r="F169" s="24" t="n">
        <x:v>4101.2</x:v>
      </x:c>
      <x:c r="G169" s="24" t="n">
        <x:v>4141.2</x:v>
      </x:c>
      <x:c r="H169" s="24"/>
      <x:c r="I169" s="25" t="n">
        <x:v>0.007787403874233378</x:v>
      </x:c>
      <x:c r="J169" s="24" t="n">
        <x:f>ROUND(E169-F169,1)</x:f>
        <x:v>43.4</x:v>
      </x:c>
      <x:c r="K169" s="23" t="str">
        <x:v>IF2509</x:v>
      </x:c>
    </x:row>
    <x:row r="170">
      <x:c r="A170" s="23" t="n">
        <x:v>19</x:v>
      </x:c>
      <x:c r="B170" s="23" t="str">
        <x:v>周五</x:v>
      </x:c>
      <x:c r="C170" s="23" t="str">
        <x:v>7月25日</x:v>
      </x:c>
      <x:c r="D170" s="24" t="n">
        <x:v>4136</x:v>
      </x:c>
      <x:c r="E170" s="24" t="n">
        <x:v>4138</x:v>
      </x:c>
      <x:c r="F170" s="24" t="n">
        <x:v>4104</x:v>
      </x:c>
      <x:c r="G170" s="24" t="n">
        <x:v>4116</x:v>
      </x:c>
      <x:c r="H170" s="24"/>
      <x:c r="I170" s="25" t="n">
        <x:v>-0.006085192697768749</x:v>
      </x:c>
      <x:c r="J170" s="24" t="n">
        <x:f>ROUND(E170-F170,1)</x:f>
        <x:v>34</x:v>
      </x:c>
      <x:c r="K170" s="23" t="str">
        <x:v>IF2509</x:v>
      </x:c>
    </x:row>
    <x:row r="171">
      <x:c r="A171" s="23" t="n">
        <x:v>20</x:v>
      </x:c>
      <x:c r="B171" s="23" t="str">
        <x:v>周一</x:v>
      </x:c>
      <x:c r="C171" s="23" t="str">
        <x:v>7月28日</x:v>
      </x:c>
      <x:c r="D171" s="24" t="n">
        <x:v>4116</x:v>
      </x:c>
      <x:c r="E171" s="24" t="n">
        <x:v>4134.6</x:v>
      </x:c>
      <x:c r="F171" s="24" t="n">
        <x:v>4093.8</x:v>
      </x:c>
      <x:c r="G171" s="24" t="n">
        <x:v>4122</x:v>
      </x:c>
      <x:c r="H171" s="24"/>
      <x:c r="I171" s="25" t="n">
        <x:v>0.001457725947521915</x:v>
      </x:c>
      <x:c r="J171" s="24" t="n">
        <x:f>ROUND(E171-F171,1)</x:f>
        <x:v>40.8</x:v>
      </x:c>
      <x:c r="K171" s="23" t="str">
        <x:v>IF2509</x:v>
      </x:c>
    </x:row>
    <x:row r="172">
      <x:c r="A172" s="23" t="n">
        <x:v>21</x:v>
      </x:c>
      <x:c r="B172" s="23" t="str">
        <x:v>周二</x:v>
      </x:c>
      <x:c r="C172" s="23" t="str">
        <x:v>7月29日</x:v>
      </x:c>
      <x:c r="D172" s="24" t="n">
        <x:v>4112</x:v>
      </x:c>
      <x:c r="E172" s="24" t="n">
        <x:v>4142.8</x:v>
      </x:c>
      <x:c r="F172" s="24" t="n">
        <x:v>4095.4</x:v>
      </x:c>
      <x:c r="G172" s="24" t="n">
        <x:v>4141.4</x:v>
      </x:c>
      <x:c r="H172" s="24"/>
      <x:c r="I172" s="25" t="n">
        <x:v>0.004706453178068726</x:v>
      </x:c>
      <x:c r="J172" s="24" t="n">
        <x:f>ROUND(E172-F172,1)</x:f>
        <x:v>47.4</x:v>
      </x:c>
      <x:c r="K172" s="23" t="str">
        <x:v>IF2509</x:v>
      </x:c>
    </x:row>
    <x:row r="173">
      <x:c r="A173" s="23" t="n">
        <x:v>22</x:v>
      </x:c>
      <x:c r="B173" s="23" t="str">
        <x:v>周三</x:v>
      </x:c>
      <x:c r="C173" s="23" t="str">
        <x:v>7月30日</x:v>
      </x:c>
      <x:c r="D173" s="24" t="n">
        <x:v>4131.4</x:v>
      </x:c>
      <x:c r="E173" s="24" t="n">
        <x:v>4173</x:v>
      </x:c>
      <x:c r="F173" s="24" t="n">
        <x:v>4110</x:v>
      </x:c>
      <x:c r="G173" s="24" t="n">
        <x:v>4136.4</x:v>
      </x:c>
      <x:c r="H173" s="24"/>
      <x:c r="I173" s="25" t="n">
        <x:v>-0.0012073211957308594</x:v>
      </x:c>
      <x:c r="J173" s="24" t="n">
        <x:f>ROUND(E173-F173,1)</x:f>
        <x:v>63</x:v>
      </x:c>
      <x:c r="K173" s="23" t="str">
        <x:v>IF2509</x:v>
      </x:c>
    </x:row>
    <x:row r="174">
      <x:c r="A174" s="23" t="n">
        <x:v>23</x:v>
      </x:c>
      <x:c r="B174" s="23" t="str">
        <x:v>周四</x:v>
      </x:c>
      <x:c r="C174" s="23" t="str">
        <x:v>7月31日</x:v>
      </x:c>
      <x:c r="D174" s="24" t="n">
        <x:v>4124.8</x:v>
      </x:c>
      <x:c r="E174" s="24" t="n">
        <x:v>4125.6</x:v>
      </x:c>
      <x:c r="F174" s="24" t="n">
        <x:v>4035.4</x:v>
      </x:c>
      <x:c r="G174" s="24" t="n">
        <x:v>4057</x:v>
      </x:c>
      <x:c r="H174" s="24"/>
      <x:c r="I174" s="25" t="n">
        <x:v>-0.019195435644521752</x:v>
      </x:c>
      <x:c r="J174" s="29" t="n">
        <x:f>ROUND(E174-F174,1)</x:f>
        <x:v>90.2</x:v>
      </x:c>
      <x:c r="K174" s="23" t="str">
        <x:v>IF2509</x:v>
      </x:c>
    </x:row>
    <x:row r="175">
      <x:c r="A175" s="38" t="str">
        <x:v>合计</x:v>
      </x:c>
      <x:c r="B175" s="37" t="n">
        <x:v>23</x:v>
      </x:c>
      <x:c r="C175" s="37"/>
      <x:c r="D175" s="37"/>
      <x:c r="E175" s="37"/>
      <x:c r="F175" s="37"/>
      <x:c r="G175" s="37"/>
      <x:c r="H175" s="37"/>
      <x:c r="I175" s="37"/>
      <x:c r="J175" s="39" t="n">
        <x:f>ROUND(SUM(J152:J174),1)</x:f>
        <x:v>1028</x:v>
      </x:c>
      <x:c r="K175" s="37"/>
    </x:row>
    <x:row r="176">
      <x:c r="A176" s="38" t="str">
        <x:v>均值</x:v>
      </x:c>
      <x:c r="B176" s="37"/>
      <x:c r="C176" s="37"/>
      <x:c r="D176" s="37"/>
      <x:c r="E176" s="37"/>
      <x:c r="F176" s="37"/>
      <x:c r="G176" s="37"/>
      <x:c r="H176" s="37"/>
      <x:c r="I176" s="37"/>
      <x:c r="J176" s="41" t="n">
        <x:f>ROUND(IFERROR(AVERAGE(J152:J174),0),1)</x:f>
        <x:v>44.7</x:v>
      </x:c>
      <x:c r="K176" s="37"/>
    </x:row>
    <x:row r="178">
      <x:c r="A178" s="17" t="str">
        <x:v>8月</x:v>
      </x:c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</x:row>
    <x:row r="179">
      <x:c r="A179" s="20" t="str">
        <x:v>序号</x:v>
      </x:c>
      <x:c r="B179" s="20" t="str">
        <x:v>星期</x:v>
      </x:c>
      <x:c r="C179" s="20" t="str">
        <x:v>日期</x:v>
      </x:c>
      <x:c r="D179" s="20" t="str">
        <x:v>开盘</x:v>
      </x:c>
      <x:c r="E179" s="20" t="str">
        <x:v>高点</x:v>
      </x:c>
      <x:c r="F179" s="20" t="str">
        <x:v>低点</x:v>
      </x:c>
      <x:c r="G179" s="20" t="str">
        <x:v>收盘</x:v>
      </x:c>
      <x:c r="H179" s="20" t="str">
        <x:v>涨跌点数</x:v>
      </x:c>
      <x:c r="I179" s="20" t="str">
        <x:v>涨幅</x:v>
      </x:c>
      <x:c r="J179" s="20" t="str">
        <x:v>振幅</x:v>
      </x:c>
      <x:c r="K179" s="20" t="str">
        <x:v>标的</x:v>
      </x:c>
    </x:row>
    <x:row r="180">
      <x:c r="A180" s="23" t="n">
        <x:v>1</x:v>
      </x:c>
      <x:c r="B180" s="23" t="str">
        <x:v>周五</x:v>
      </x:c>
      <x:c r="C180" s="23" t="str">
        <x:v>8月1日</x:v>
      </x:c>
      <x:c r="D180" s="24" t="n">
        <x:v>4057.8</x:v>
      </x:c>
      <x:c r="E180" s="24" t="n">
        <x:v>4066.4</x:v>
      </x:c>
      <x:c r="F180" s="24" t="n">
        <x:v>4018.6</x:v>
      </x:c>
      <x:c r="G180" s="24" t="n">
        <x:v>4029.6</x:v>
      </x:c>
      <x:c r="H180" s="24"/>
      <x:c r="I180" s="25" t="n">
        <x:v>-0.006753758935173826</x:v>
      </x:c>
      <x:c r="J180" s="24" t="n">
        <x:f>ROUND(E180-F180,1)</x:f>
        <x:v>47.8</x:v>
      </x:c>
      <x:c r="K180" s="23" t="str">
        <x:v>IF2509</x:v>
      </x:c>
    </x:row>
    <x:row r="181">
      <x:c r="A181" s="23" t="n">
        <x:v>2</x:v>
      </x:c>
      <x:c r="B181" s="23" t="str">
        <x:v>周一</x:v>
      </x:c>
      <x:c r="C181" s="23" t="str">
        <x:v>8月4日</x:v>
      </x:c>
      <x:c r="D181" s="24" t="n">
        <x:v>4018.2</x:v>
      </x:c>
      <x:c r="E181" s="24" t="n">
        <x:v>4054</x:v>
      </x:c>
      <x:c r="F181" s="24" t="n">
        <x:v>4017.4</x:v>
      </x:c>
      <x:c r="G181" s="24" t="n">
        <x:v>4052.8</x:v>
      </x:c>
      <x:c r="H181" s="24"/>
      <x:c r="I181" s="25" t="n">
        <x:v>0.005757395274965216</x:v>
      </x:c>
      <x:c r="J181" s="24" t="n">
        <x:f>ROUND(E181-F181,1)</x:f>
        <x:v>36.6</x:v>
      </x:c>
      <x:c r="K181" s="23" t="str">
        <x:v>IF2509</x:v>
      </x:c>
    </x:row>
    <x:row r="182">
      <x:c r="A182" s="23" t="n">
        <x:v>3</x:v>
      </x:c>
      <x:c r="B182" s="23" t="str">
        <x:v>周二</x:v>
      </x:c>
      <x:c r="C182" s="23" t="str">
        <x:v>8月5日</x:v>
      </x:c>
      <x:c r="D182" s="24" t="n">
        <x:v>4060</x:v>
      </x:c>
      <x:c r="E182" s="24" t="n">
        <x:v>4086.6</x:v>
      </x:c>
      <x:c r="F182" s="24" t="n">
        <x:v>4051</x:v>
      </x:c>
      <x:c r="G182" s="24" t="n">
        <x:v>4082</x:v>
      </x:c>
      <x:c r="H182" s="24"/>
      <x:c r="I182" s="25" t="n">
        <x:v>0.0072048953809711325</x:v>
      </x:c>
      <x:c r="J182" s="24" t="n">
        <x:f>ROUND(E182-F182,1)</x:f>
        <x:v>35.6</x:v>
      </x:c>
      <x:c r="K182" s="23" t="str">
        <x:v>IF2509</x:v>
      </x:c>
    </x:row>
    <x:row r="183">
      <x:c r="A183" s="23" t="n">
        <x:v>4</x:v>
      </x:c>
      <x:c r="B183" s="23" t="str">
        <x:v>周三</x:v>
      </x:c>
      <x:c r="C183" s="23" t="str">
        <x:v>8月6日</x:v>
      </x:c>
      <x:c r="D183" s="24" t="n">
        <x:v>4080</x:v>
      </x:c>
      <x:c r="E183" s="24" t="n">
        <x:v>4105.2</x:v>
      </x:c>
      <x:c r="F183" s="24" t="n">
        <x:v>4077</x:v>
      </x:c>
      <x:c r="G183" s="24" t="n">
        <x:v>4097</x:v>
      </x:c>
      <x:c r="H183" s="24"/>
      <x:c r="I183" s="25" t="n">
        <x:v>0.003674669279764897</x:v>
      </x:c>
      <x:c r="J183" s="24" t="n">
        <x:f>ROUND(E183-F183,1)</x:f>
        <x:v>28.2</x:v>
      </x:c>
      <x:c r="K183" s="23" t="str">
        <x:v>IF2509</x:v>
      </x:c>
    </x:row>
    <x:row r="184">
      <x:c r="A184" s="23" t="n">
        <x:v>5</x:v>
      </x:c>
      <x:c r="B184" s="23" t="str">
        <x:v>周四</x:v>
      </x:c>
      <x:c r="C184" s="23" t="str">
        <x:v>8月7日</x:v>
      </x:c>
      <x:c r="D184" s="24" t="n">
        <x:v>4100</x:v>
      </x:c>
      <x:c r="E184" s="24" t="n">
        <x:v>4117.4</x:v>
      </x:c>
      <x:c r="F184" s="24" t="n">
        <x:v>4073.2</x:v>
      </x:c>
      <x:c r="G184" s="24" t="n">
        <x:v>4092.6</x:v>
      </x:c>
      <x:c r="H184" s="24"/>
      <x:c r="I184" s="25" t="n">
        <x:v>-0.0010739565535757833</x:v>
      </x:c>
      <x:c r="J184" s="24" t="n">
        <x:f>ROUND(E184-F184,1)</x:f>
        <x:v>44.2</x:v>
      </x:c>
      <x:c r="K184" s="23" t="str">
        <x:v>IF2509</x:v>
      </x:c>
    </x:row>
    <x:row r="185">
      <x:c r="A185" s="23" t="n">
        <x:v>6</x:v>
      </x:c>
      <x:c r="B185" s="23" t="str">
        <x:v>周五</x:v>
      </x:c>
      <x:c r="C185" s="23" t="str">
        <x:v>8月8日</x:v>
      </x:c>
      <x:c r="D185" s="24" t="n">
        <x:v>4087</x:v>
      </x:c>
      <x:c r="E185" s="24" t="n">
        <x:v>4102</x:v>
      </x:c>
      <x:c r="F185" s="24" t="n">
        <x:v>4073.8</x:v>
      </x:c>
      <x:c r="G185" s="24" t="n">
        <x:v>4083.2</x:v>
      </x:c>
      <x:c r="H185" s="24"/>
      <x:c r="I185" s="25" t="n">
        <x:v>-0.0022968284220300506</x:v>
      </x:c>
      <x:c r="J185" s="24" t="n">
        <x:f>ROUND(E185-F185,1)</x:f>
        <x:v>28.2</x:v>
      </x:c>
      <x:c r="K185" s="23" t="str">
        <x:v>IF2509</x:v>
      </x:c>
    </x:row>
    <x:row r="186">
      <x:c r="A186" s="23" t="n">
        <x:v>7</x:v>
      </x:c>
      <x:c r="B186" s="23" t="str">
        <x:v>周一</x:v>
      </x:c>
      <x:c r="C186" s="23" t="str">
        <x:v>8月11日</x:v>
      </x:c>
      <x:c r="D186" s="24" t="n">
        <x:v>4089.4</x:v>
      </x:c>
      <x:c r="E186" s="24" t="n">
        <x:v>4126.4</x:v>
      </x:c>
      <x:c r="F186" s="24" t="n">
        <x:v>4086</x:v>
      </x:c>
      <x:c r="G186" s="24" t="n">
        <x:v>4104.8</x:v>
      </x:c>
      <x:c r="H186" s="24"/>
      <x:c r="I186" s="25" t="n">
        <x:v>0.005289968652037791</x:v>
      </x:c>
      <x:c r="J186" s="24" t="n">
        <x:f>ROUND(E186-F186,1)</x:f>
        <x:v>40.4</x:v>
      </x:c>
      <x:c r="K186" s="23" t="str">
        <x:v>IF2509</x:v>
      </x:c>
    </x:row>
    <x:row r="187">
      <x:c r="A187" s="23" t="n">
        <x:v>8</x:v>
      </x:c>
      <x:c r="B187" s="23" t="str">
        <x:v>周二</x:v>
      </x:c>
      <x:c r="C187" s="23" t="str">
        <x:v>8月12日</x:v>
      </x:c>
      <x:c r="D187" s="24" t="n">
        <x:v>4109.6</x:v>
      </x:c>
      <x:c r="E187" s="24" t="n">
        <x:v>4144.2</x:v>
      </x:c>
      <x:c r="F187" s="24" t="n">
        <x:v>4104.6</x:v>
      </x:c>
      <x:c r="G187" s="24" t="n">
        <x:v>4131.2</x:v>
      </x:c>
      <x:c r="H187" s="24"/>
      <x:c r="I187" s="25" t="n">
        <x:v>0.006431494835314577</x:v>
      </x:c>
      <x:c r="J187" s="24" t="n">
        <x:f>ROUND(E187-F187,1)</x:f>
        <x:v>39.6</x:v>
      </x:c>
      <x:c r="K187" s="23" t="str">
        <x:v>IF2509</x:v>
      </x:c>
    </x:row>
    <x:row r="188">
      <x:c r="A188" s="23" t="n">
        <x:v>9</x:v>
      </x:c>
      <x:c r="B188" s="23" t="str">
        <x:v>周三</x:v>
      </x:c>
      <x:c r="C188" s="23" t="str">
        <x:v>8月13日</x:v>
      </x:c>
      <x:c r="D188" s="24" t="n">
        <x:v>4138.8</x:v>
      </x:c>
      <x:c r="E188" s="24" t="n">
        <x:v>4181</x:v>
      </x:c>
      <x:c r="F188" s="24" t="n">
        <x:v>4135.2</x:v>
      </x:c>
      <x:c r="G188" s="24" t="n">
        <x:v>4170.8</x:v>
      </x:c>
      <x:c r="H188" s="24"/>
      <x:c r="I188" s="25" t="n">
        <x:v>0.009585592563904122</x:v>
      </x:c>
      <x:c r="J188" s="24" t="n">
        <x:f>ROUND(E188-F188,1)</x:f>
        <x:v>45.8</x:v>
      </x:c>
      <x:c r="K188" s="23" t="str">
        <x:v>IF2509</x:v>
      </x:c>
    </x:row>
    <x:row r="189">
      <x:c r="A189" s="23" t="n">
        <x:v>10</x:v>
      </x:c>
      <x:c r="B189" s="23" t="str">
        <x:v>周四</x:v>
      </x:c>
      <x:c r="C189" s="23" t="str">
        <x:v>8月14日</x:v>
      </x:c>
      <x:c r="D189" s="24" t="n">
        <x:v>4179.6</x:v>
      </x:c>
      <x:c r="E189" s="24" t="n">
        <x:v>4212.8</x:v>
      </x:c>
      <x:c r="F189" s="24" t="n">
        <x:v>4155.8</x:v>
      </x:c>
      <x:c r="G189" s="24" t="n">
        <x:v>4163.8</x:v>
      </x:c>
      <x:c r="H189" s="24"/>
      <x:c r="I189" s="25" t="n">
        <x:v>-0.0016783350915891004</x:v>
      </x:c>
      <x:c r="J189" s="24" t="n">
        <x:f>ROUND(E189-F189,1)</x:f>
        <x:v>57</x:v>
      </x:c>
      <x:c r="K189" s="23" t="str">
        <x:v>IF2509</x:v>
      </x:c>
    </x:row>
    <x:row r="190">
      <x:c r="A190" s="33" t="n">
        <x:v>11</x:v>
      </x:c>
      <x:c r="B190" s="33" t="str">
        <x:v>周五</x:v>
      </x:c>
      <x:c r="C190" s="33" t="str">
        <x:v>8月15日</x:v>
      </x:c>
      <x:c r="D190" s="34" t="n">
        <x:v>4157</x:v>
      </x:c>
      <x:c r="E190" s="34" t="n">
        <x:v>4215</x:v>
      </x:c>
      <x:c r="F190" s="34" t="n">
        <x:v>4146.8</x:v>
      </x:c>
      <x:c r="G190" s="34" t="n">
        <x:v>4209.4</x:v>
      </x:c>
      <x:c r="H190" s="34"/>
      <x:c r="I190" s="35" t="n">
        <x:v>0.010951534655843087</x:v>
      </x:c>
      <x:c r="J190" s="34" t="n">
        <x:f>ROUND(E190-F190,1)</x:f>
        <x:v>68.2</x:v>
      </x:c>
      <x:c r="K190" s="33" t="str">
        <x:v>IF2509</x:v>
      </x:c>
    </x:row>
    <x:row r="191">
      <x:c r="A191" s="23" t="n">
        <x:v>12</x:v>
      </x:c>
      <x:c r="B191" s="23" t="str">
        <x:v>周一</x:v>
      </x:c>
      <x:c r="C191" s="23" t="str">
        <x:v>8月18日</x:v>
      </x:c>
      <x:c r="D191" s="24" t="n">
        <x:v>4220</x:v>
      </x:c>
      <x:c r="E191" s="24" t="n">
        <x:v>4275.2</x:v>
      </x:c>
      <x:c r="F191" s="24" t="n">
        <x:v>4196</x:v>
      </x:c>
      <x:c r="G191" s="24" t="n">
        <x:v>4237.8</x:v>
      </x:c>
      <x:c r="H191" s="24"/>
      <x:c r="I191" s="25" t="n">
        <x:v>0.006746804770276116</x:v>
      </x:c>
      <x:c r="J191" s="24" t="n">
        <x:f>ROUND(E191-F191,1)</x:f>
        <x:v>79.2</x:v>
      </x:c>
      <x:c r="K191" s="23" t="str">
        <x:v>IF2509</x:v>
      </x:c>
    </x:row>
    <x:row r="192">
      <x:c r="A192" s="23" t="n">
        <x:v>13</x:v>
      </x:c>
      <x:c r="B192" s="23" t="str">
        <x:v>周二</x:v>
      </x:c>
      <x:c r="C192" s="23" t="str">
        <x:v>8月19日</x:v>
      </x:c>
      <x:c r="D192" s="24" t="n">
        <x:v>4244</x:v>
      </x:c>
      <x:c r="E192" s="24" t="n">
        <x:v>4260.4</x:v>
      </x:c>
      <x:c r="F192" s="24" t="n">
        <x:v>4208.8</x:v>
      </x:c>
      <x:c r="G192" s="24" t="n">
        <x:v>4216.2</x:v>
      </x:c>
      <x:c r="H192" s="24"/>
      <x:c r="I192" s="25" t="n">
        <x:v>-0.0050969842842985</x:v>
      </x:c>
      <x:c r="J192" s="24" t="n">
        <x:f>ROUND(E192-F192,1)</x:f>
        <x:v>51.6</x:v>
      </x:c>
      <x:c r="K192" s="23" t="str">
        <x:v>IF2509</x:v>
      </x:c>
    </x:row>
    <x:row r="193">
      <x:c r="A193" s="23" t="n">
        <x:v>14</x:v>
      </x:c>
      <x:c r="B193" s="23" t="str">
        <x:v>周三</x:v>
      </x:c>
      <x:c r="C193" s="23" t="str">
        <x:v>8月20日</x:v>
      </x:c>
      <x:c r="D193" s="24" t="n">
        <x:v>4201</x:v>
      </x:c>
      <x:c r="E193" s="24" t="n">
        <x:v>4273.8</x:v>
      </x:c>
      <x:c r="F193" s="24" t="n">
        <x:v>4176.6</x:v>
      </x:c>
      <x:c r="G193" s="24" t="n">
        <x:v>4270</x:v>
      </x:c>
      <x:c r="H193" s="24"/>
      <x:c r="I193" s="25" t="n">
        <x:v>0.012760305488354495</x:v>
      </x:c>
      <x:c r="J193" s="29" t="n">
        <x:f>ROUND(E193-F193,1)</x:f>
        <x:v>97.2</x:v>
      </x:c>
      <x:c r="K193" s="23" t="str">
        <x:v>IF2509</x:v>
      </x:c>
    </x:row>
    <x:row r="194">
      <x:c r="A194" s="23" t="n">
        <x:v>15</x:v>
      </x:c>
      <x:c r="B194" s="23" t="str">
        <x:v>周四</x:v>
      </x:c>
      <x:c r="C194" s="23" t="str">
        <x:v>8月21日</x:v>
      </x:c>
      <x:c r="D194" s="24" t="n">
        <x:v>4280.4</x:v>
      </x:c>
      <x:c r="E194" s="24" t="n">
        <x:v>4299.8</x:v>
      </x:c>
      <x:c r="F194" s="24" t="n">
        <x:v>4264.2</x:v>
      </x:c>
      <x:c r="G194" s="24" t="n">
        <x:v>4282.2</x:v>
      </x:c>
      <x:c r="H194" s="24"/>
      <x:c r="I194" s="25" t="n">
        <x:v>0.0028571428571428914</x:v>
      </x:c>
      <x:c r="J194" s="24" t="n">
        <x:f>ROUND(E194-F194,1)</x:f>
        <x:v>35.6</x:v>
      </x:c>
      <x:c r="K194" s="23" t="str">
        <x:v>IF2509</x:v>
      </x:c>
    </x:row>
    <x:row r="195">
      <x:c r="A195" s="23" t="n">
        <x:v>16</x:v>
      </x:c>
      <x:c r="B195" s="23" t="str">
        <x:v>周五</x:v>
      </x:c>
      <x:c r="C195" s="23" t="str">
        <x:v>8月22日</x:v>
      </x:c>
      <x:c r="D195" s="24" t="n">
        <x:v>4283</x:v>
      </x:c>
      <x:c r="E195" s="24" t="n">
        <x:v>4396.6</x:v>
      </x:c>
      <x:c r="F195" s="24" t="n">
        <x:v>4283</x:v>
      </x:c>
      <x:c r="G195" s="24" t="n">
        <x:v>4394</x:v>
      </x:c>
      <x:c r="H195" s="24"/>
      <x:c r="I195" s="25" t="n">
        <x:v>0.02610807528840331</x:v>
      </x:c>
      <x:c r="J195" s="29" t="n">
        <x:f>ROUND(E195-F195,1)</x:f>
        <x:v>113.6</x:v>
      </x:c>
      <x:c r="K195" s="23" t="str">
        <x:v>IF2509</x:v>
      </x:c>
    </x:row>
    <x:row r="196">
      <x:c r="A196" s="23" t="n">
        <x:v>17</x:v>
      </x:c>
      <x:c r="B196" s="23" t="str">
        <x:v>周一</x:v>
      </x:c>
      <x:c r="C196" s="23" t="str">
        <x:v>8月25日</x:v>
      </x:c>
      <x:c r="D196" s="24" t="n">
        <x:v>4425</x:v>
      </x:c>
      <x:c r="E196" s="24" t="n">
        <x:v>4484.6</x:v>
      </x:c>
      <x:c r="F196" s="24" t="n">
        <x:v>4408</x:v>
      </x:c>
      <x:c r="G196" s="24" t="n">
        <x:v>4474.6</x:v>
      </x:c>
      <x:c r="H196" s="24"/>
      <x:c r="I196" s="25" t="n">
        <x:v>0.01834319526627226</x:v>
      </x:c>
      <x:c r="J196" s="24" t="n">
        <x:f>ROUND(E196-F196,1)</x:f>
        <x:v>76.6</x:v>
      </x:c>
      <x:c r="K196" s="23" t="str">
        <x:v>IF2509</x:v>
      </x:c>
    </x:row>
    <x:row r="197">
      <x:c r="A197" s="23" t="n">
        <x:v>18</x:v>
      </x:c>
      <x:c r="B197" s="23" t="str">
        <x:v>周二</x:v>
      </x:c>
      <x:c r="C197" s="23" t="str">
        <x:v>8月26日</x:v>
      </x:c>
      <x:c r="D197" s="24" t="n">
        <x:v>4474.8</x:v>
      </x:c>
      <x:c r="E197" s="24" t="n">
        <x:v>4482.8</x:v>
      </x:c>
      <x:c r="F197" s="24" t="n">
        <x:v>4437.2</x:v>
      </x:c>
      <x:c r="G197" s="24" t="n">
        <x:v>4449</x:v>
      </x:c>
      <x:c r="H197" s="24"/>
      <x:c r="I197" s="25" t="n">
        <x:v>-0.00572118178161185</x:v>
      </x:c>
      <x:c r="J197" s="24" t="n">
        <x:f>ROUND(E197-F197,1)</x:f>
        <x:v>45.6</x:v>
      </x:c>
      <x:c r="K197" s="23" t="str">
        <x:v>IF2509</x:v>
      </x:c>
    </x:row>
    <x:row r="198">
      <x:c r="A198" s="23" t="n">
        <x:v>19</x:v>
      </x:c>
      <x:c r="B198" s="23" t="str">
        <x:v>周三</x:v>
      </x:c>
      <x:c r="C198" s="23" t="str">
        <x:v>8月27日</x:v>
      </x:c>
      <x:c r="D198" s="24" t="n">
        <x:v>4451.2</x:v>
      </x:c>
      <x:c r="E198" s="24" t="n">
        <x:v>4494.8</x:v>
      </x:c>
      <x:c r="F198" s="24" t="n">
        <x:v>4380.6</x:v>
      </x:c>
      <x:c r="G198" s="24" t="n">
        <x:v>4384</x:v>
      </x:c>
      <x:c r="H198" s="24"/>
      <x:c r="I198" s="25" t="n">
        <x:v>-0.014610024724657222</x:v>
      </x:c>
      <x:c r="J198" s="29" t="n">
        <x:f>ROUND(E198-F198,1)</x:f>
        <x:v>114.2</x:v>
      </x:c>
      <x:c r="K198" s="23" t="str">
        <x:v>IF2509</x:v>
      </x:c>
    </x:row>
    <x:row r="199">
      <x:c r="A199" s="23" t="n">
        <x:v>20</x:v>
      </x:c>
      <x:c r="B199" s="23" t="str">
        <x:v>周四</x:v>
      </x:c>
      <x:c r="C199" s="23" t="str">
        <x:v>8月28日</x:v>
      </x:c>
      <x:c r="D199" s="24" t="n">
        <x:v>4383.2</x:v>
      </x:c>
      <x:c r="E199" s="24" t="n">
        <x:v>4465</x:v>
      </x:c>
      <x:c r="F199" s="24" t="n">
        <x:v>4360.2</x:v>
      </x:c>
      <x:c r="G199" s="24" t="n">
        <x:v>4460.4</x:v>
      </x:c>
      <x:c r="H199" s="24"/>
      <x:c r="I199" s="25" t="n">
        <x:v>0.017427007299269937</x:v>
      </x:c>
      <x:c r="J199" s="29" t="n">
        <x:f>ROUND(E199-F199,1)</x:f>
        <x:v>104.8</x:v>
      </x:c>
      <x:c r="K199" s="23" t="str">
        <x:v>IF2509</x:v>
      </x:c>
    </x:row>
    <x:row r="200">
      <x:c r="A200" s="23" t="n">
        <x:v>21</x:v>
      </x:c>
      <x:c r="B200" s="23" t="str">
        <x:v>周五</x:v>
      </x:c>
      <x:c r="C200" s="23" t="str">
        <x:v>8月29日</x:v>
      </x:c>
      <x:c r="D200" s="24" t="n">
        <x:v>4452.2</x:v>
      </x:c>
      <x:c r="E200" s="24" t="n">
        <x:v>4517.6</x:v>
      </x:c>
      <x:c r="F200" s="24" t="n">
        <x:v>4447</x:v>
      </x:c>
      <x:c r="G200" s="24" t="n">
        <x:v>4506.2</x:v>
      </x:c>
      <x:c r="H200" s="24"/>
      <x:c r="I200" s="25" t="n">
        <x:v>0.01026813738678145</x:v>
      </x:c>
      <x:c r="J200" s="24" t="n">
        <x:f>ROUND(E200-F200,1)</x:f>
        <x:v>70.6</x:v>
      </x:c>
      <x:c r="K200" s="23" t="str">
        <x:v>IF2509</x:v>
      </x:c>
    </x:row>
    <x:row r="201">
      <x:c r="A201" s="38" t="str">
        <x:v>合计</x:v>
      </x:c>
      <x:c r="B201" s="37" t="n">
        <x:v>21</x:v>
      </x:c>
      <x:c r="C201" s="37"/>
      <x:c r="D201" s="37"/>
      <x:c r="E201" s="37"/>
      <x:c r="F201" s="37"/>
      <x:c r="G201" s="37"/>
      <x:c r="H201" s="37"/>
      <x:c r="I201" s="37"/>
      <x:c r="J201" s="39" t="n">
        <x:f>ROUND(SUM(J180:J200),1)</x:f>
        <x:v>1260.6</x:v>
      </x:c>
      <x:c r="K201" s="37"/>
    </x:row>
    <x:row r="202">
      <x:c r="A202" s="38" t="str">
        <x:v>均值</x:v>
      </x:c>
      <x:c r="B202" s="37"/>
      <x:c r="C202" s="37"/>
      <x:c r="D202" s="37"/>
      <x:c r="E202" s="37"/>
      <x:c r="F202" s="37"/>
      <x:c r="G202" s="37"/>
      <x:c r="H202" s="37"/>
      <x:c r="I202" s="37"/>
      <x:c r="J202" s="41" t="n">
        <x:f>ROUND(IFERROR(AVERAGE(J180:J200),0),1)</x:f>
        <x:v>60</x:v>
      </x:c>
      <x:c r="K202" s="37"/>
    </x:row>
    <x:row r="204">
      <x:c r="A204" s="17" t="str">
        <x:v>9月</x:v>
      </x:c>
      <x:c r="B204" s="17"/>
      <x:c r="C204" s="17"/>
      <x:c r="D204" s="17"/>
      <x:c r="E204" s="17"/>
      <x:c r="F204" s="17"/>
      <x:c r="G204" s="17"/>
      <x:c r="H204" s="17"/>
      <x:c r="I204" s="17"/>
      <x:c r="J204" s="17"/>
      <x:c r="K204" s="17"/>
    </x:row>
    <x:row r="205">
      <x:c r="A205" s="20" t="str">
        <x:v>序号</x:v>
      </x:c>
      <x:c r="B205" s="20" t="str">
        <x:v>星期</x:v>
      </x:c>
      <x:c r="C205" s="20" t="str">
        <x:v>日期</x:v>
      </x:c>
      <x:c r="D205" s="20" t="str">
        <x:v>开盘</x:v>
      </x:c>
      <x:c r="E205" s="20" t="str">
        <x:v>高点</x:v>
      </x:c>
      <x:c r="F205" s="20" t="str">
        <x:v>低点</x:v>
      </x:c>
      <x:c r="G205" s="20" t="str">
        <x:v>收盘</x:v>
      </x:c>
      <x:c r="H205" s="20" t="str">
        <x:v>涨跌点数</x:v>
      </x:c>
      <x:c r="I205" s="20" t="str">
        <x:v>涨幅</x:v>
      </x:c>
      <x:c r="J205" s="20" t="str">
        <x:v>振幅</x:v>
      </x:c>
      <x:c r="K205" s="20" t="str">
        <x:v>标的</x:v>
      </x:c>
    </x:row>
    <x:row r="206">
      <x:c r="A206" s="23" t="n">
        <x:v>1</x:v>
      </x:c>
      <x:c r="B206" s="23" t="str">
        <x:v>周一</x:v>
      </x:c>
      <x:c r="C206" s="23" t="str">
        <x:v>9月1日</x:v>
      </x:c>
      <x:c r="D206" s="24" t="n">
        <x:v>4517</x:v>
      </x:c>
      <x:c r="E206" s="24" t="n">
        <x:v>4527.2</x:v>
      </x:c>
      <x:c r="F206" s="24" t="n">
        <x:v>4480</x:v>
      </x:c>
      <x:c r="G206" s="24" t="n">
        <x:v>4510.6</x:v>
      </x:c>
      <x:c r="H206" s="24"/>
      <x:c r="I206" s="25" t="n">
        <x:v>0.0009764324708181338</x:v>
      </x:c>
      <x:c r="J206" s="24" t="n">
        <x:f>ROUND(E206-F206,1)</x:f>
        <x:v>47.2</x:v>
      </x:c>
      <x:c r="K206" s="23" t="str">
        <x:v>IF2509</x:v>
      </x:c>
    </x:row>
    <x:row r="207">
      <x:c r="A207" s="23" t="n">
        <x:v>2</x:v>
      </x:c>
      <x:c r="B207" s="23" t="str">
        <x:v>周二</x:v>
      </x:c>
      <x:c r="C207" s="23" t="str">
        <x:v>9月2日</x:v>
      </x:c>
      <x:c r="D207" s="24" t="n">
        <x:v>4516</x:v>
      </x:c>
      <x:c r="E207" s="24" t="n">
        <x:v>4540.6</x:v>
      </x:c>
      <x:c r="F207" s="24" t="n">
        <x:v>4446</x:v>
      </x:c>
      <x:c r="G207" s="24" t="n">
        <x:v>4481.2</x:v>
      </x:c>
      <x:c r="H207" s="24"/>
      <x:c r="I207" s="25" t="n">
        <x:v>-0.006517979869640533</x:v>
      </x:c>
      <x:c r="J207" s="29" t="n">
        <x:f>ROUND(E207-F207,1)</x:f>
        <x:v>94.6</x:v>
      </x:c>
      <x:c r="K207" s="23" t="str">
        <x:v>IF2509</x:v>
      </x:c>
    </x:row>
    <x:row r="208">
      <x:c r="A208" s="23" t="n">
        <x:v>3</x:v>
      </x:c>
      <x:c r="B208" s="23" t="str">
        <x:v>周三</x:v>
      </x:c>
      <x:c r="C208" s="23" t="str">
        <x:v>9月3日</x:v>
      </x:c>
      <x:c r="D208" s="24" t="n">
        <x:v>4501.4</x:v>
      </x:c>
      <x:c r="E208" s="24" t="n">
        <x:v>4508.6</x:v>
      </x:c>
      <x:c r="F208" s="24" t="n">
        <x:v>4408</x:v>
      </x:c>
      <x:c r="G208" s="24" t="n">
        <x:v>4430</x:v>
      </x:c>
      <x:c r="H208" s="24"/>
      <x:c r="I208" s="25" t="n">
        <x:v>-0.011425511023832824</x:v>
      </x:c>
      <x:c r="J208" s="29" t="n">
        <x:f>ROUND(E208-F208,1)</x:f>
        <x:v>100.6</x:v>
      </x:c>
      <x:c r="K208" s="23" t="str">
        <x:v>IF2509</x:v>
      </x:c>
    </x:row>
    <x:row r="209">
      <x:c r="A209" s="23" t="n">
        <x:v>4</x:v>
      </x:c>
      <x:c r="B209" s="23" t="str">
        <x:v>周四</x:v>
      </x:c>
      <x:c r="C209" s="23" t="str">
        <x:v>9月4日</x:v>
      </x:c>
      <x:c r="D209" s="24" t="n">
        <x:v>4437</x:v>
      </x:c>
      <x:c r="E209" s="24" t="n">
        <x:v>4453.6</x:v>
      </x:c>
      <x:c r="F209" s="24" t="n">
        <x:v>4306.2</x:v>
      </x:c>
      <x:c r="G209" s="24" t="n">
        <x:v>4349.4</x:v>
      </x:c>
      <x:c r="H209" s="24"/>
      <x:c r="I209" s="25" t="n">
        <x:v>-0.018194130925508034</x:v>
      </x:c>
      <x:c r="J209" s="29" t="n">
        <x:f>ROUND(E209-F209,1)</x:f>
        <x:v>147.4</x:v>
      </x:c>
      <x:c r="K209" s="23" t="str">
        <x:v>IF2509</x:v>
      </x:c>
    </x:row>
    <x:row r="210">
      <x:c r="A210" s="23" t="n">
        <x:v>5</x:v>
      </x:c>
      <x:c r="B210" s="23" t="str">
        <x:v>周五</x:v>
      </x:c>
      <x:c r="C210" s="23" t="str">
        <x:v>9月5日</x:v>
      </x:c>
      <x:c r="D210" s="24" t="n">
        <x:v>4351.2</x:v>
      </x:c>
      <x:c r="E210" s="24" t="n">
        <x:v>4470</x:v>
      </x:c>
      <x:c r="F210" s="24" t="n">
        <x:v>4344.2</x:v>
      </x:c>
      <x:c r="G210" s="24" t="n">
        <x:v>4456.6</x:v>
      </x:c>
      <x:c r="H210" s="24"/>
      <x:c r="I210" s="25" t="n">
        <x:v>0.0246470777578518</x:v>
      </x:c>
      <x:c r="J210" s="29" t="n">
        <x:f>ROUND(E210-F210,1)</x:f>
        <x:v>125.8</x:v>
      </x:c>
      <x:c r="K210" s="23" t="str">
        <x:v>IF2509</x:v>
      </x:c>
    </x:row>
    <x:row r="211">
      <x:c r="A211" s="23" t="n">
        <x:v>6</x:v>
      </x:c>
      <x:c r="B211" s="23" t="str">
        <x:v>周一</x:v>
      </x:c>
      <x:c r="C211" s="23" t="str">
        <x:v>9月8日</x:v>
      </x:c>
      <x:c r="D211" s="24" t="n">
        <x:v>4464</x:v>
      </x:c>
      <x:c r="E211" s="24" t="n">
        <x:v>4478.8</x:v>
      </x:c>
      <x:c r="F211" s="24" t="n">
        <x:v>4424</x:v>
      </x:c>
      <x:c r="G211" s="24" t="n">
        <x:v>4453</x:v>
      </x:c>
      <x:c r="H211" s="24"/>
      <x:c r="I211" s="25" t="n">
        <x:v>-0.0008077906924561784</x:v>
      </x:c>
      <x:c r="J211" s="24" t="n">
        <x:f>ROUND(E211-F211,1)</x:f>
        <x:v>54.8</x:v>
      </x:c>
      <x:c r="K211" s="23" t="str">
        <x:v>IF2509</x:v>
      </x:c>
    </x:row>
    <x:row r="212">
      <x:c r="A212" s="23" t="n">
        <x:v>7</x:v>
      </x:c>
      <x:c r="B212" s="23" t="str">
        <x:v>周二</x:v>
      </x:c>
      <x:c r="C212" s="23" t="str">
        <x:v>9月9日</x:v>
      </x:c>
      <x:c r="D212" s="24" t="n">
        <x:v>4438</x:v>
      </x:c>
      <x:c r="E212" s="24" t="n">
        <x:v>4463</x:v>
      </x:c>
      <x:c r="F212" s="24" t="n">
        <x:v>4401.2</x:v>
      </x:c>
      <x:c r="G212" s="24" t="n">
        <x:v>4426.2</x:v>
      </x:c>
      <x:c r="H212" s="24"/>
      <x:c r="I212" s="25" t="n">
        <x:v>-0.006018414551987483</x:v>
      </x:c>
      <x:c r="J212" s="24" t="n">
        <x:f>ROUND(E212-F212,1)</x:f>
        <x:v>61.8</x:v>
      </x:c>
      <x:c r="K212" s="23" t="str">
        <x:v>IF2509</x:v>
      </x:c>
    </x:row>
    <x:row r="213">
      <x:c r="A213" s="23" t="n">
        <x:v>8</x:v>
      </x:c>
      <x:c r="B213" s="23" t="str">
        <x:v>周三</x:v>
      </x:c>
      <x:c r="C213" s="23" t="str">
        <x:v>9月10日</x:v>
      </x:c>
      <x:c r="D213" s="24" t="n">
        <x:v>4430.8</x:v>
      </x:c>
      <x:c r="E213" s="24" t="n">
        <x:v>4461.8</x:v>
      </x:c>
      <x:c r="F213" s="24" t="n">
        <x:v>4405</x:v>
      </x:c>
      <x:c r="G213" s="24" t="n">
        <x:v>4432.4</x:v>
      </x:c>
      <x:c r="H213" s="24"/>
      <x:c r="I213" s="25" t="n">
        <x:v>0.0014007500790744754</x:v>
      </x:c>
      <x:c r="J213" s="24" t="n">
        <x:f>ROUND(E213-F213,1)</x:f>
        <x:v>56.8</x:v>
      </x:c>
      <x:c r="K213" s="23" t="str">
        <x:v>IF2509</x:v>
      </x:c>
    </x:row>
    <x:row r="214">
      <x:c r="A214" s="23" t="n">
        <x:v>9</x:v>
      </x:c>
      <x:c r="B214" s="23" t="str">
        <x:v>周四</x:v>
      </x:c>
      <x:c r="C214" s="23" t="str">
        <x:v>9月11日</x:v>
      </x:c>
      <x:c r="D214" s="24" t="n">
        <x:v>4424</x:v>
      </x:c>
      <x:c r="E214" s="24" t="n">
        <x:v>4562.2</x:v>
      </x:c>
      <x:c r="F214" s="24" t="n">
        <x:v>4413.6</x:v>
      </x:c>
      <x:c r="G214" s="24" t="n">
        <x:v>4562</x:v>
      </x:c>
      <x:c r="H214" s="24"/>
      <x:c r="I214" s="25" t="n">
        <x:v>0.029239238335890372</x:v>
      </x:c>
      <x:c r="J214" s="29" t="n">
        <x:f>ROUND(E214-F214,1)</x:f>
        <x:v>148.6</x:v>
      </x:c>
      <x:c r="K214" s="23" t="str">
        <x:v>IF2509</x:v>
      </x:c>
    </x:row>
    <x:row r="215">
      <x:c r="A215" s="23" t="n">
        <x:v>10</x:v>
      </x:c>
      <x:c r="B215" s="23" t="str">
        <x:v>周五</x:v>
      </x:c>
      <x:c r="C215" s="23" t="str">
        <x:v>9月12日</x:v>
      </x:c>
      <x:c r="D215" s="24" t="n">
        <x:v>4557</x:v>
      </x:c>
      <x:c r="E215" s="24" t="n">
        <x:v>4565.8</x:v>
      </x:c>
      <x:c r="F215" s="24" t="n">
        <x:v>4517</x:v>
      </x:c>
      <x:c r="G215" s="24" t="n">
        <x:v>4523.2</x:v>
      </x:c>
      <x:c r="H215" s="24"/>
      <x:c r="I215" s="25" t="n">
        <x:v>-0.008505041648399825</x:v>
      </x:c>
      <x:c r="J215" s="24" t="n">
        <x:f>ROUND(E215-F215,1)</x:f>
        <x:v>48.8</x:v>
      </x:c>
      <x:c r="K215" s="23" t="str">
        <x:v>IF2509</x:v>
      </x:c>
    </x:row>
    <x:row r="216">
      <x:c r="A216" s="23" t="n">
        <x:v>11</x:v>
      </x:c>
      <x:c r="B216" s="23" t="str">
        <x:v>周一</x:v>
      </x:c>
      <x:c r="C216" s="23" t="str">
        <x:v>9月15日</x:v>
      </x:c>
      <x:c r="D216" s="24" t="n">
        <x:v>4533</x:v>
      </x:c>
      <x:c r="E216" s="24" t="n">
        <x:v>4563.6</x:v>
      </x:c>
      <x:c r="F216" s="24" t="n">
        <x:v>4518.8</x:v>
      </x:c>
      <x:c r="G216" s="24" t="n">
        <x:v>4527.8</x:v>
      </x:c>
      <x:c r="H216" s="24"/>
      <x:c r="I216" s="25" t="n">
        <x:v>-0.005792359391581181</x:v>
      </x:c>
      <x:c r="J216" s="24" t="n">
        <x:f>ROUND(E216-F216,1)</x:f>
        <x:v>44.8</x:v>
      </x:c>
      <x:c r="K216" s="23" t="str">
        <x:v>IF2509</x:v>
      </x:c>
    </x:row>
    <x:row r="217">
      <x:c r="A217" s="23" t="n">
        <x:v>12</x:v>
      </x:c>
      <x:c r="B217" s="23" t="str">
        <x:v>周二</x:v>
      </x:c>
      <x:c r="C217" s="23" t="str">
        <x:v>9月16日</x:v>
      </x:c>
      <x:c r="D217" s="24" t="n">
        <x:v>4542</x:v>
      </x:c>
      <x:c r="E217" s="24" t="n">
        <x:v>4554</x:v>
      </x:c>
      <x:c r="F217" s="24" t="n">
        <x:v>4489.6</x:v>
      </x:c>
      <x:c r="G217" s="24" t="n">
        <x:v>4516.8</x:v>
      </x:c>
      <x:c r="H217" s="24"/>
      <x:c r="I217" s="25" t="n">
        <x:v>-0.0017344896597731863</x:v>
      </x:c>
      <x:c r="J217" s="24" t="n">
        <x:f>ROUND(E217-F217,1)</x:f>
        <x:v>64.4</x:v>
      </x:c>
      <x:c r="K217" s="23" t="str">
        <x:v>IF2509</x:v>
      </x:c>
    </x:row>
    <x:row r="218">
      <x:c r="A218" s="23" t="n">
        <x:v>13</x:v>
      </x:c>
      <x:c r="B218" s="23" t="str">
        <x:v>周三</x:v>
      </x:c>
      <x:c r="C218" s="23" t="str">
        <x:v>9月17日</x:v>
      </x:c>
      <x:c r="D218" s="24" t="n">
        <x:v>4518</x:v>
      </x:c>
      <x:c r="E218" s="24" t="n">
        <x:v>4559.2</x:v>
      </x:c>
      <x:c r="F218" s="24" t="n">
        <x:v>4497.2</x:v>
      </x:c>
      <x:c r="G218" s="24" t="n">
        <x:v>4553.2</x:v>
      </x:c>
      <x:c r="H218" s="24"/>
      <x:c r="I218" s="25" t="n">
        <x:v>0.006459948320413522</x:v>
      </x:c>
      <x:c r="J218" s="24" t="n">
        <x:f>ROUND(E218-F218,1)</x:f>
        <x:v>62</x:v>
      </x:c>
      <x:c r="K218" s="23" t="str">
        <x:v>IF2509</x:v>
      </x:c>
    </x:row>
    <x:row r="219">
      <x:c r="A219" s="23" t="n">
        <x:v>14</x:v>
      </x:c>
      <x:c r="B219" s="23" t="str">
        <x:v>周四</x:v>
      </x:c>
      <x:c r="C219" s="23" t="str">
        <x:v>9月18日</x:v>
      </x:c>
      <x:c r="D219" s="24" t="n">
        <x:v>4545</x:v>
      </x:c>
      <x:c r="E219" s="24" t="n">
        <x:v>4577.4</x:v>
      </x:c>
      <x:c r="F219" s="24" t="n">
        <x:v>4448</x:v>
      </x:c>
      <x:c r="G219" s="24" t="n">
        <x:v>4487.2</x:v>
      </x:c>
      <x:c r="H219" s="24"/>
      <x:c r="I219" s="25" t="n">
        <x:v>-0.015492895400823326</x:v>
      </x:c>
      <x:c r="J219" s="29" t="n">
        <x:f>ROUND(E219-F219,1)</x:f>
        <x:v>129.4</x:v>
      </x:c>
      <x:c r="K219" s="23" t="str">
        <x:v>IF2509</x:v>
      </x:c>
    </x:row>
    <x:row r="220">
      <x:c r="A220" s="33" t="n">
        <x:v>15</x:v>
      </x:c>
      <x:c r="B220" s="33" t="str">
        <x:v>周五</x:v>
      </x:c>
      <x:c r="C220" s="33" t="str">
        <x:v>9月19日</x:v>
      </x:c>
      <x:c r="D220" s="34" t="n">
        <x:v>4493</x:v>
      </x:c>
      <x:c r="E220" s="34" t="n">
        <x:v>4531.6</x:v>
      </x:c>
      <x:c r="F220" s="34" t="n">
        <x:v>4484</x:v>
      </x:c>
      <x:c r="G220" s="34" t="n">
        <x:v>4510</x:v>
      </x:c>
      <x:c r="H220" s="34"/>
      <x:c r="I220" s="35" t="n">
        <x:v>0.0036419225754236173</x:v>
      </x:c>
      <x:c r="J220" s="34" t="n">
        <x:f>ROUND(E220-F220,1)</x:f>
        <x:v>47.6</x:v>
      </x:c>
      <x:c r="K220" s="33" t="str">
        <x:v>IF2509</x:v>
      </x:c>
    </x:row>
    <x:row r="221">
      <x:c r="A221" s="23" t="n">
        <x:v>16</x:v>
      </x:c>
      <x:c r="B221" s="23" t="str">
        <x:v>周一</x:v>
      </x:c>
      <x:c r="C221" s="23" t="str">
        <x:v>9月22日</x:v>
      </x:c>
      <x:c r="D221" s="24" t="n">
        <x:v>4475</x:v>
      </x:c>
      <x:c r="E221" s="24" t="n">
        <x:v>4488</x:v>
      </x:c>
      <x:c r="F221" s="24" t="n">
        <x:v>4447.2</x:v>
      </x:c>
      <x:c r="G221" s="24" t="n">
        <x:v>4484</x:v>
      </x:c>
      <x:c r="H221" s="24"/>
      <x:c r="I221" s="25" t="n">
        <x:v>0.004390287608637244</x:v>
      </x:c>
      <x:c r="J221" s="24" t="n">
        <x:f>ROUND(E221-F221,1)</x:f>
        <x:v>40.8</x:v>
      </x:c>
      <x:c r="K221" s="23" t="str">
        <x:v>IF2512</x:v>
      </x:c>
    </x:row>
    <x:row r="222">
      <x:c r="A222" s="23" t="n">
        <x:v>17</x:v>
      </x:c>
      <x:c r="B222" s="23" t="str">
        <x:v>周二</x:v>
      </x:c>
      <x:c r="C222" s="23" t="str">
        <x:v>9月23日</x:v>
      </x:c>
      <x:c r="D222" s="24" t="n">
        <x:v>4495</x:v>
      </x:c>
      <x:c r="E222" s="24" t="n">
        <x:v>4513</x:v>
      </x:c>
      <x:c r="F222" s="24" t="n">
        <x:v>4408.8</x:v>
      </x:c>
      <x:c r="G222" s="24" t="n">
        <x:v>4483.8</x:v>
      </x:c>
      <x:c r="H222" s="24"/>
      <x:c r="I222" s="25" t="n">
        <x:v>-0.0000446030330062408</x:v>
      </x:c>
      <x:c r="J222" s="29" t="n">
        <x:f>ROUND(E222-F222,1)</x:f>
        <x:v>104.2</x:v>
      </x:c>
      <x:c r="K222" s="23" t="str">
        <x:v>IF2512</x:v>
      </x:c>
    </x:row>
    <x:row r="223">
      <x:c r="A223" s="23" t="n">
        <x:v>18</x:v>
      </x:c>
      <x:c r="B223" s="23" t="str">
        <x:v>周三</x:v>
      </x:c>
      <x:c r="C223" s="23" t="str">
        <x:v>9月24日</x:v>
      </x:c>
      <x:c r="D223" s="24" t="n">
        <x:v>4468.8</x:v>
      </x:c>
      <x:c r="E223" s="24" t="n">
        <x:v>4531.2</x:v>
      </x:c>
      <x:c r="F223" s="24" t="n">
        <x:v>4463.2</x:v>
      </x:c>
      <x:c r="G223" s="24" t="n">
        <x:v>4530</x:v>
      </x:c>
      <x:c r="H223" s="24"/>
      <x:c r="I223" s="25" t="n">
        <x:v>0.010303760203398848</x:v>
      </x:c>
      <x:c r="J223" s="24" t="n">
        <x:f>ROUND(E223-F223,1)</x:f>
        <x:v>68</x:v>
      </x:c>
      <x:c r="K223" s="23" t="str">
        <x:v>IF2512</x:v>
      </x:c>
    </x:row>
    <x:row r="224">
      <x:c r="A224" s="23" t="n">
        <x:v>19</x:v>
      </x:c>
      <x:c r="B224" s="23" t="str">
        <x:v>周四</x:v>
      </x:c>
      <x:c r="C224" s="23" t="str">
        <x:v>9月25日</x:v>
      </x:c>
      <x:c r="D224" s="24" t="n">
        <x:v>4523.4</x:v>
      </x:c>
      <x:c r="E224" s="24" t="n">
        <x:v>4587.6</x:v>
      </x:c>
      <x:c r="F224" s="24" t="n">
        <x:v>4522</x:v>
      </x:c>
      <x:c r="G224" s="24" t="n">
        <x:v>4562.2</x:v>
      </x:c>
      <x:c r="H224" s="24"/>
      <x:c r="I224" s="25" t="n">
        <x:v>0.007108167770419449</x:v>
      </x:c>
      <x:c r="J224" s="24" t="n">
        <x:f>ROUND(E224-F224,1)</x:f>
        <x:v>65.6</x:v>
      </x:c>
      <x:c r="K224" s="23" t="str">
        <x:v>IF2512</x:v>
      </x:c>
    </x:row>
    <x:row r="225">
      <x:c r="A225" s="23" t="n">
        <x:v>20</x:v>
      </x:c>
      <x:c r="B225" s="23" t="str">
        <x:v>周五</x:v>
      </x:c>
      <x:c r="C225" s="23" t="str">
        <x:v>9月26日</x:v>
      </x:c>
      <x:c r="D225" s="24" t="n">
        <x:v>4550</x:v>
      </x:c>
      <x:c r="E225" s="24" t="n">
        <x:v>4570.8</x:v>
      </x:c>
      <x:c r="F225" s="24" t="n">
        <x:v>4525</x:v>
      </x:c>
      <x:c r="G225" s="24" t="n">
        <x:v>4525</x:v>
      </x:c>
      <x:c r="H225" s="24"/>
      <x:c r="I225" s="25" t="n">
        <x:v>-0.008153960808381933</x:v>
      </x:c>
      <x:c r="J225" s="24" t="n">
        <x:f>ROUND(E225-F225,1)</x:f>
        <x:v>45.8</x:v>
      </x:c>
      <x:c r="K225" s="23" t="str">
        <x:v>IF2512</x:v>
      </x:c>
    </x:row>
    <x:row r="226">
      <x:c r="A226" s="23" t="n">
        <x:v>21</x:v>
      </x:c>
      <x:c r="B226" s="23" t="str">
        <x:v>周一</x:v>
      </x:c>
      <x:c r="C226" s="23" t="str">
        <x:v>9月29日</x:v>
      </x:c>
      <x:c r="D226" s="24" t="n">
        <x:v>4530</x:v>
      </x:c>
      <x:c r="E226" s="24" t="n">
        <x:v>4639.8</x:v>
      </x:c>
      <x:c r="F226" s="24" t="n">
        <x:v>4515.2</x:v>
      </x:c>
      <x:c r="G226" s="24" t="n">
        <x:v>4604.6</x:v>
      </x:c>
      <x:c r="H226" s="24"/>
      <x:c r="I226" s="25" t="n">
        <x:v>0.017591160220994606</x:v>
      </x:c>
      <x:c r="J226" s="29" t="n">
        <x:f>ROUND(E226-F226,1)</x:f>
        <x:v>124.6</x:v>
      </x:c>
      <x:c r="K226" s="23" t="str">
        <x:v>IF2512</x:v>
      </x:c>
    </x:row>
    <x:row r="227">
      <x:c r="A227" s="23" t="n">
        <x:v>22</x:v>
      </x:c>
      <x:c r="B227" s="23" t="str">
        <x:v>周二</x:v>
      </x:c>
      <x:c r="C227" s="23" t="str">
        <x:v>9月30日</x:v>
      </x:c>
      <x:c r="D227" s="24" t="n">
        <x:v>4615</x:v>
      </x:c>
      <x:c r="E227" s="24" t="n">
        <x:v>4631.8</x:v>
      </x:c>
      <x:c r="F227" s="24" t="n">
        <x:v>4601</x:v>
      </x:c>
      <x:c r="G227" s="24" t="n">
        <x:v>4618</x:v>
      </x:c>
      <x:c r="H227" s="24"/>
      <x:c r="I227" s="25" t="n">
        <x:v>0.002910133344915966</x:v>
      </x:c>
      <x:c r="J227" s="24" t="n">
        <x:f>ROUND(E227-F227,1)</x:f>
        <x:v>30.8</x:v>
      </x:c>
      <x:c r="K227" s="23" t="str">
        <x:v>IF2512</x:v>
      </x:c>
    </x:row>
    <x:row r="228">
      <x:c r="A228" s="38" t="str">
        <x:v>合计</x:v>
      </x:c>
      <x:c r="B228" s="37" t="n">
        <x:v>22</x:v>
      </x:c>
      <x:c r="C228" s="37"/>
      <x:c r="D228" s="37"/>
      <x:c r="E228" s="37"/>
      <x:c r="F228" s="37"/>
      <x:c r="G228" s="37"/>
      <x:c r="H228" s="37"/>
      <x:c r="I228" s="37"/>
      <x:c r="J228" s="39" t="n">
        <x:f>ROUND(SUM(J206:J227),1)</x:f>
        <x:v>1714.4</x:v>
      </x:c>
      <x:c r="K228" s="37"/>
    </x:row>
    <x:row r="229">
      <x:c r="A229" s="38" t="str">
        <x:v>均值</x:v>
      </x:c>
      <x:c r="B229" s="37"/>
      <x:c r="C229" s="37"/>
      <x:c r="D229" s="37"/>
      <x:c r="E229" s="37"/>
      <x:c r="F229" s="37"/>
      <x:c r="G229" s="37"/>
      <x:c r="H229" s="37"/>
      <x:c r="I229" s="37"/>
      <x:c r="J229" s="41" t="n">
        <x:f>ROUND(IFERROR(AVERAGE(J206:J227),0),1)</x:f>
        <x:v>77.9</x:v>
      </x:c>
      <x:c r="K229" s="37"/>
    </x:row>
    <x:row r="231">
      <x:c r="A231" s="17" t="str">
        <x:v>10月</x:v>
      </x:c>
      <x:c r="B231" s="17"/>
      <x:c r="C231" s="17"/>
      <x:c r="D231" s="17"/>
      <x:c r="E231" s="17"/>
      <x:c r="F231" s="17"/>
      <x:c r="G231" s="17"/>
      <x:c r="H231" s="17"/>
      <x:c r="I231" s="17"/>
      <x:c r="J231" s="17"/>
      <x:c r="K231" s="17"/>
    </x:row>
    <x:row r="232">
      <x:c r="A232" s="20" t="str">
        <x:v>序号</x:v>
      </x:c>
      <x:c r="B232" s="20" t="str">
        <x:v>星期</x:v>
      </x:c>
      <x:c r="C232" s="20" t="str">
        <x:v>日期</x:v>
      </x:c>
      <x:c r="D232" s="20" t="str">
        <x:v>开盘</x:v>
      </x:c>
      <x:c r="E232" s="20" t="str">
        <x:v>高点</x:v>
      </x:c>
      <x:c r="F232" s="20" t="str">
        <x:v>低点</x:v>
      </x:c>
      <x:c r="G232" s="20" t="str">
        <x:v>收盘</x:v>
      </x:c>
      <x:c r="H232" s="20" t="str">
        <x:v>涨跌点数</x:v>
      </x:c>
      <x:c r="I232" s="20" t="str">
        <x:v>涨幅</x:v>
      </x:c>
      <x:c r="J232" s="20" t="str">
        <x:v>振幅</x:v>
      </x:c>
      <x:c r="K232" s="20" t="str">
        <x:v>标的</x:v>
      </x:c>
    </x:row>
    <x:row r="233">
      <x:c r="A233" s="23" t="n">
        <x:v>1</x:v>
      </x:c>
      <x:c r="B233" s="23" t="str">
        <x:v>周四</x:v>
      </x:c>
      <x:c r="C233" s="23" t="str">
        <x:v>10月9日</x:v>
      </x:c>
      <x:c r="D233" s="24" t="n">
        <x:v>4639</x:v>
      </x:c>
      <x:c r="E233" s="24" t="n">
        <x:v>4715</x:v>
      </x:c>
      <x:c r="F233" s="24" t="n">
        <x:v>4627.2</x:v>
      </x:c>
      <x:c r="G233" s="24" t="n">
        <x:v>4689.2</x:v>
      </x:c>
      <x:c r="H233" s="24"/>
      <x:c r="I233" s="25" t="n">
        <x:v>0.015417929839757427</x:v>
      </x:c>
      <x:c r="J233" s="24" t="n">
        <x:f>ROUND(E233-F233,1)</x:f>
        <x:v>87.8</x:v>
      </x:c>
      <x:c r="K233" s="23" t="str">
        <x:v>IF2512</x:v>
      </x:c>
    </x:row>
    <x:row r="234">
      <x:c r="A234" s="23" t="n">
        <x:v>2</x:v>
      </x:c>
      <x:c r="B234" s="23" t="str">
        <x:v>周五</x:v>
      </x:c>
      <x:c r="C234" s="23" t="str">
        <x:v>10月10日</x:v>
      </x:c>
      <x:c r="D234" s="24" t="n">
        <x:v>4664</x:v>
      </x:c>
      <x:c r="E234" s="24" t="n">
        <x:v>4674.4</x:v>
      </x:c>
      <x:c r="F234" s="24" t="n">
        <x:v>4576.2</x:v>
      </x:c>
      <x:c r="G234" s="24" t="n">
        <x:v>4592.2</x:v>
      </x:c>
      <x:c r="H234" s="24"/>
      <x:c r="I234" s="25" t="n">
        <x:v>-0.020685831271858746</x:v>
      </x:c>
      <x:c r="J234" s="29" t="n">
        <x:f>ROUND(E234-F234,1)</x:f>
        <x:v>98.2</x:v>
      </x:c>
      <x:c r="K234" s="23" t="str">
        <x:v>IF2512</x:v>
      </x:c>
    </x:row>
    <x:row r="235">
      <x:c r="A235" s="23" t="n">
        <x:v>3</x:v>
      </x:c>
      <x:c r="B235" s="23" t="str">
        <x:v>周一</x:v>
      </x:c>
      <x:c r="C235" s="23" t="str">
        <x:v>10月13日</x:v>
      </x:c>
      <x:c r="D235" s="24" t="n">
        <x:v>4520</x:v>
      </x:c>
      <x:c r="E235" s="24" t="n">
        <x:v>4574.4</x:v>
      </x:c>
      <x:c r="F235" s="24" t="n">
        <x:v>4493</x:v>
      </x:c>
      <x:c r="G235" s="24" t="n">
        <x:v>4562.6</x:v>
      </x:c>
      <x:c r="H235" s="24"/>
      <x:c r="I235" s="25" t="n">
        <x:v>-0.006445712294760542</x:v>
      </x:c>
      <x:c r="J235" s="24" t="n">
        <x:f>ROUND(E235-F235,1)</x:f>
        <x:v>81.4</x:v>
      </x:c>
      <x:c r="K235" s="23" t="str">
        <x:v>IF2512</x:v>
      </x:c>
    </x:row>
    <x:row r="236">
      <x:c r="A236" s="23" t="n">
        <x:v>4</x:v>
      </x:c>
      <x:c r="B236" s="23" t="str">
        <x:v>周二</x:v>
      </x:c>
      <x:c r="C236" s="23" t="str">
        <x:v>10月14日</x:v>
      </x:c>
      <x:c r="D236" s="24" t="n">
        <x:v>4588.6</x:v>
      </x:c>
      <x:c r="E236" s="24" t="n">
        <x:v>4609</x:v>
      </x:c>
      <x:c r="F236" s="24" t="n">
        <x:v>4480</x:v>
      </x:c>
      <x:c r="G236" s="24" t="n">
        <x:v>4507.2</x:v>
      </x:c>
      <x:c r="H236" s="24"/>
      <x:c r="I236" s="25" t="n">
        <x:v>-0.012142199623022099</x:v>
      </x:c>
      <x:c r="J236" s="29" t="n">
        <x:f>ROUND(E236-F236,1)</x:f>
        <x:v>129</x:v>
      </x:c>
      <x:c r="K236" s="23" t="str">
        <x:v>IF2512</x:v>
      </x:c>
    </x:row>
    <x:row r="237">
      <x:c r="A237" s="23" t="n">
        <x:v>5</x:v>
      </x:c>
      <x:c r="B237" s="23" t="str">
        <x:v>周三</x:v>
      </x:c>
      <x:c r="C237" s="23" t="str">
        <x:v>10月15日</x:v>
      </x:c>
      <x:c r="D237" s="24" t="n">
        <x:v>4522</x:v>
      </x:c>
      <x:c r="E237" s="24" t="n">
        <x:v>4587.8</x:v>
      </x:c>
      <x:c r="F237" s="24" t="n">
        <x:v>4501</x:v>
      </x:c>
      <x:c r="G237" s="24" t="n">
        <x:v>4576.4</x:v>
      </x:c>
      <x:c r="H237" s="24"/>
      <x:c r="I237" s="25" t="n">
        <x:v>0.015353212637557734</x:v>
      </x:c>
      <x:c r="J237" s="24" t="n">
        <x:f>ROUND(E237-F237,1)</x:f>
        <x:v>86.8</x:v>
      </x:c>
      <x:c r="K237" s="23" t="str">
        <x:v>IF2512</x:v>
      </x:c>
    </x:row>
    <x:row r="238">
      <x:c r="A238" s="23" t="n">
        <x:v>6</x:v>
      </x:c>
      <x:c r="B238" s="23" t="str">
        <x:v>周四</x:v>
      </x:c>
      <x:c r="C238" s="23" t="str">
        <x:v>10月16日</x:v>
      </x:c>
      <x:c r="D238" s="24" t="n">
        <x:v>4561</x:v>
      </x:c>
      <x:c r="E238" s="24" t="n">
        <x:v>4618</x:v>
      </x:c>
      <x:c r="F238" s="24" t="n">
        <x:v>4561</x:v>
      </x:c>
      <x:c r="G238" s="24" t="n">
        <x:v>4590</x:v>
      </x:c>
      <x:c r="H238" s="24"/>
      <x:c r="I238" s="25" t="n">
        <x:v>0.002971768202080227</x:v>
      </x:c>
      <x:c r="J238" s="24" t="n">
        <x:f>ROUND(E238-F238,1)</x:f>
        <x:v>57</x:v>
      </x:c>
      <x:c r="K238" s="23" t="str">
        <x:v>IF2512</x:v>
      </x:c>
    </x:row>
    <x:row r="239">
      <x:c r="A239" s="33" t="n">
        <x:v>7</x:v>
      </x:c>
      <x:c r="B239" s="33" t="str">
        <x:v>周五</x:v>
      </x:c>
      <x:c r="C239" s="33" t="str">
        <x:v>10月17日</x:v>
      </x:c>
      <x:c r="D239" s="34" t="n">
        <x:v>4582</x:v>
      </x:c>
      <x:c r="E239" s="34" t="n">
        <x:v>4596</x:v>
      </x:c>
      <x:c r="F239" s="34" t="n">
        <x:v>4468</x:v>
      </x:c>
      <x:c r="G239" s="34" t="n">
        <x:v>4485.2</x:v>
      </x:c>
      <x:c r="H239" s="34"/>
      <x:c r="I239" s="35" t="n">
        <x:v>-0.02283224400871464</x:v>
      </x:c>
      <x:c r="J239" s="29" t="n">
        <x:f>ROUND(E239-F239,1)</x:f>
        <x:v>128</x:v>
      </x:c>
      <x:c r="K239" s="33" t="str">
        <x:v>IF2512</x:v>
      </x:c>
    </x:row>
    <x:row r="240">
      <x:c r="A240" s="23" t="n">
        <x:v>8</x:v>
      </x:c>
      <x:c r="B240" s="23" t="str">
        <x:v>周一</x:v>
      </x:c>
      <x:c r="C240" s="23" t="str">
        <x:v>10月20日</x:v>
      </x:c>
      <x:c r="D240" s="24" t="n">
        <x:v>4523</x:v>
      </x:c>
      <x:c r="E240" s="24" t="n">
        <x:v>4549.8</x:v>
      </x:c>
      <x:c r="F240" s="24" t="n">
        <x:v>4490.8</x:v>
      </x:c>
      <x:c r="G240" s="24" t="n">
        <x:v>4506.8</x:v>
      </x:c>
      <x:c r="H240" s="24"/>
      <x:c r="I240" s="25" t="n">
        <x:v>0.004815838758583935</x:v>
      </x:c>
      <x:c r="J240" s="24" t="n">
        <x:f>ROUND(E240-F240,1)</x:f>
        <x:v>59</x:v>
      </x:c>
      <x:c r="K240" s="23" t="str">
        <x:v>IF2512</x:v>
      </x:c>
    </x:row>
    <x:row r="241">
      <x:c r="A241" s="23" t="n">
        <x:v>9</x:v>
      </x:c>
      <x:c r="B241" s="23" t="str">
        <x:v>周二</x:v>
      </x:c>
      <x:c r="C241" s="23" t="str">
        <x:v>10月21日</x:v>
      </x:c>
      <x:c r="D241" s="24" t="n">
        <x:v>4528.2</x:v>
      </x:c>
      <x:c r="E241" s="24" t="n">
        <x:v>4599.2</x:v>
      </x:c>
      <x:c r="F241" s="24" t="n">
        <x:v>4521</x:v>
      </x:c>
      <x:c r="G241" s="24" t="n">
        <x:v>4577.6</x:v>
      </x:c>
      <x:c r="H241" s="24"/>
      <x:c r="I241" s="25" t="n">
        <x:v>0.015709594390698634</x:v>
      </x:c>
      <x:c r="J241" s="24" t="n">
        <x:f>ROUND(E241-F241,1)</x:f>
        <x:v>78.2</x:v>
      </x:c>
      <x:c r="K241" s="23" t="str">
        <x:v>IF2512</x:v>
      </x:c>
    </x:row>
    <x:row r="242">
      <x:c r="A242" s="23" t="n">
        <x:v>10</x:v>
      </x:c>
      <x:c r="B242" s="23" t="str">
        <x:v>周三</x:v>
      </x:c>
      <x:c r="C242" s="23" t="str">
        <x:v>10月22日</x:v>
      </x:c>
      <x:c r="D242" s="24" t="n">
        <x:v>4559</x:v>
      </x:c>
      <x:c r="E242" s="24" t="n">
        <x:v>4579.4</x:v>
      </x:c>
      <x:c r="F242" s="24" t="n">
        <x:v>4536.8</x:v>
      </x:c>
      <x:c r="G242" s="24" t="n">
        <x:v>4563.4</x:v>
      </x:c>
      <x:c r="H242" s="24"/>
      <x:c r="I242" s="25" t="n">
        <x:v>-0.0031020622160085054</x:v>
      </x:c>
      <x:c r="J242" s="24" t="n">
        <x:f>ROUND(E242-F242,1)</x:f>
        <x:v>42.6</x:v>
      </x:c>
      <x:c r="K242" s="23" t="str">
        <x:v>IF2512</x:v>
      </x:c>
    </x:row>
    <x:row r="243">
      <x:c r="A243" s="23" t="n">
        <x:v>11</x:v>
      </x:c>
      <x:c r="B243" s="23" t="str">
        <x:v>周四</x:v>
      </x:c>
      <x:c r="C243" s="23" t="str">
        <x:v>10月23日</x:v>
      </x:c>
      <x:c r="D243" s="24" t="n">
        <x:v>4555.4</x:v>
      </x:c>
      <x:c r="E243" s="24" t="n">
        <x:v>4589.6</x:v>
      </x:c>
      <x:c r="F243" s="24" t="n">
        <x:v>4505.4</x:v>
      </x:c>
      <x:c r="G243" s="24" t="n">
        <x:v>4580.8</x:v>
      </x:c>
      <x:c r="H243" s="24"/>
      <x:c r="I243" s="25" t="n">
        <x:v>0.003812946487268487</x:v>
      </x:c>
      <x:c r="J243" s="24" t="n">
        <x:f>ROUND(E243-F243,1)</x:f>
        <x:v>84.2</x:v>
      </x:c>
      <x:c r="K243" s="23" t="str">
        <x:v>IF2512</x:v>
      </x:c>
    </x:row>
    <x:row r="244">
      <x:c r="A244" s="23" t="n">
        <x:v>12</x:v>
      </x:c>
      <x:c r="B244" s="23" t="str">
        <x:v>周五</x:v>
      </x:c>
      <x:c r="C244" s="23" t="str">
        <x:v>10月24日</x:v>
      </x:c>
      <x:c r="D244" s="24" t="n">
        <x:v>4592</x:v>
      </x:c>
      <x:c r="E244" s="24" t="n">
        <x:v>4634.8</x:v>
      </x:c>
      <x:c r="F244" s="24" t="n">
        <x:v>4592</x:v>
      </x:c>
      <x:c r="G244" s="24" t="n">
        <x:v>4634.8</x:v>
      </x:c>
      <x:c r="H244" s="24"/>
      <x:c r="I244" s="25" t="n">
        <x:v>0.011788333915473181</x:v>
      </x:c>
      <x:c r="J244" s="24" t="n">
        <x:f>ROUND(E244-F244,1)</x:f>
        <x:v>42.8</x:v>
      </x:c>
      <x:c r="K244" s="23" t="str">
        <x:v>IF2512</x:v>
      </x:c>
    </x:row>
    <x:row r="245">
      <x:c r="A245" s="23" t="n">
        <x:v>13</x:v>
      </x:c>
      <x:c r="B245" s="23" t="str">
        <x:v>周一</x:v>
      </x:c>
      <x:c r="C245" s="23" t="str">
        <x:v>10月27日</x:v>
      </x:c>
      <x:c r="D245" s="24" t="n">
        <x:v>4672</x:v>
      </x:c>
      <x:c r="E245" s="24" t="n">
        <x:v>4697.8</x:v>
      </x:c>
      <x:c r="F245" s="24" t="n">
        <x:v>4660.8</x:v>
      </x:c>
      <x:c r="G245" s="24" t="n">
        <x:v>4684.4</x:v>
      </x:c>
      <x:c r="H245" s="24"/>
      <x:c r="I245" s="25" t="n">
        <x:v>0.010701648399067842</x:v>
      </x:c>
      <x:c r="J245" s="24" t="n">
        <x:f>ROUND(E245-F245,1)</x:f>
        <x:v>37</x:v>
      </x:c>
      <x:c r="K245" s="23" t="str">
        <x:v>IF2512</x:v>
      </x:c>
    </x:row>
    <x:row r="246">
      <x:c r="A246" s="23" t="n">
        <x:v>14</x:v>
      </x:c>
      <x:c r="B246" s="23" t="str">
        <x:v>周二</x:v>
      </x:c>
      <x:c r="C246" s="23" t="str">
        <x:v>10月28日</x:v>
      </x:c>
      <x:c r="D246" s="24" t="n">
        <x:v>4680</x:v>
      </x:c>
      <x:c r="E246" s="24" t="n">
        <x:v>4719</x:v>
      </x:c>
      <x:c r="F246" s="24" t="n">
        <x:v>4660.4</x:v>
      </x:c>
      <x:c r="G246" s="24" t="n">
        <x:v>4669.6</x:v>
      </x:c>
      <x:c r="H246" s="24"/>
      <x:c r="I246" s="25" t="n">
        <x:v>-0.00315942276492176</x:v>
      </x:c>
      <x:c r="J246" s="24" t="n">
        <x:f>ROUND(E246-F246,1)</x:f>
        <x:v>58.6</x:v>
      </x:c>
      <x:c r="K246" s="23" t="str">
        <x:v>IF2512</x:v>
      </x:c>
    </x:row>
    <x:row r="247">
      <x:c r="A247" s="23" t="n">
        <x:v>15</x:v>
      </x:c>
      <x:c r="B247" s="23" t="str">
        <x:v>周三</x:v>
      </x:c>
      <x:c r="C247" s="23" t="str">
        <x:v>10月29日</x:v>
      </x:c>
      <x:c r="D247" s="24" t="n">
        <x:v>4685</x:v>
      </x:c>
      <x:c r="E247" s="24" t="n">
        <x:v>4732.6</x:v>
      </x:c>
      <x:c r="F247" s="24" t="n">
        <x:v>4678.6</x:v>
      </x:c>
      <x:c r="G247" s="24" t="n">
        <x:v>4732.6</x:v>
      </x:c>
      <x:c r="H247" s="24"/>
      <x:c r="I247" s="25" t="n">
        <x:v>0.013491519616241288</x:v>
      </x:c>
      <x:c r="J247" s="24" t="n">
        <x:f>ROUND(E247-F247,1)</x:f>
        <x:v>54</x:v>
      </x:c>
      <x:c r="K247" s="23" t="str">
        <x:v>IF2512</x:v>
      </x:c>
    </x:row>
    <x:row r="248">
      <x:c r="A248" s="23" t="n">
        <x:v>16</x:v>
      </x:c>
      <x:c r="B248" s="23" t="str">
        <x:v>周四</x:v>
      </x:c>
      <x:c r="C248" s="23" t="str">
        <x:v>10月30日</x:v>
      </x:c>
      <x:c r="D248" s="24" t="n">
        <x:v>4723.2</x:v>
      </x:c>
      <x:c r="E248" s="24" t="n">
        <x:v>4741</x:v>
      </x:c>
      <x:c r="F248" s="24" t="n">
        <x:v>4680</x:v>
      </x:c>
      <x:c r="G248" s="24" t="n">
        <x:v>4690</x:v>
      </x:c>
      <x:c r="H248" s="24"/>
      <x:c r="I248" s="25" t="n">
        <x:v>-0.009001394582259348</x:v>
      </x:c>
      <x:c r="J248" s="24" t="n">
        <x:f>ROUND(E248-F248,1)</x:f>
        <x:v>61</x:v>
      </x:c>
      <x:c r="K248" s="23" t="str">
        <x:v>IF2512</x:v>
      </x:c>
    </x:row>
    <x:row r="249">
      <x:c r="A249" s="23" t="n">
        <x:v>17</x:v>
      </x:c>
      <x:c r="B249" s="23" t="str">
        <x:v>周五</x:v>
      </x:c>
      <x:c r="C249" s="23" t="str">
        <x:v>10月31日</x:v>
      </x:c>
      <x:c r="D249" s="24" t="n">
        <x:v>4691.6</x:v>
      </x:c>
      <x:c r="E249" s="24" t="n">
        <x:v>4699.4</x:v>
      </x:c>
      <x:c r="F249" s="24" t="n">
        <x:v>4627.4</x:v>
      </x:c>
      <x:c r="G249" s="24" t="n">
        <x:v>4631.4</x:v>
      </x:c>
      <x:c r="H249" s="24"/>
      <x:c r="I249" s="25" t="n">
        <x:v>-0.012494669509594991</x:v>
      </x:c>
      <x:c r="J249" s="24" t="n">
        <x:f>ROUND(E249-F249,1)</x:f>
        <x:v>72</x:v>
      </x:c>
      <x:c r="K249" s="23" t="str">
        <x:v>IF2512</x:v>
      </x:c>
    </x:row>
    <x:row r="250">
      <x:c r="A250" s="38" t="str">
        <x:v>合计</x:v>
      </x:c>
      <x:c r="B250" s="37" t="n">
        <x:v>17</x:v>
      </x:c>
      <x:c r="C250" s="37"/>
      <x:c r="D250" s="37"/>
      <x:c r="E250" s="37"/>
      <x:c r="F250" s="37"/>
      <x:c r="G250" s="37"/>
      <x:c r="H250" s="37"/>
      <x:c r="I250" s="37"/>
      <x:c r="J250" s="39" t="n">
        <x:f>ROUND(SUM(J233:J249),1)</x:f>
        <x:v>1257.6</x:v>
      </x:c>
      <x:c r="K250" s="37"/>
    </x:row>
    <x:row r="251">
      <x:c r="A251" s="38" t="str">
        <x:v>均值</x:v>
      </x:c>
      <x:c r="B251" s="37"/>
      <x:c r="C251" s="37"/>
      <x:c r="D251" s="37"/>
      <x:c r="E251" s="37"/>
      <x:c r="F251" s="37"/>
      <x:c r="G251" s="37"/>
      <x:c r="H251" s="37"/>
      <x:c r="I251" s="37"/>
      <x:c r="J251" s="41" t="n">
        <x:f>ROUND(IFERROR(AVERAGE(J233:J249),0),1)</x:f>
        <x:v>74</x:v>
      </x:c>
      <x:c r="K251" s="37"/>
    </x:row>
    <x:row r="253">
      <x:c r="A253" s="17" t="str">
        <x:v>11月</x:v>
      </x:c>
      <x:c r="B253" s="17"/>
      <x:c r="C253" s="17"/>
      <x:c r="D253" s="17"/>
      <x:c r="E253" s="17"/>
      <x:c r="F253" s="17"/>
      <x:c r="G253" s="17"/>
      <x:c r="H253" s="17"/>
      <x:c r="I253" s="17"/>
      <x:c r="J253" s="17"/>
      <x:c r="K253" s="17"/>
    </x:row>
    <x:row r="254">
      <x:c r="A254" s="20" t="str">
        <x:v>序号</x:v>
      </x:c>
      <x:c r="B254" s="20" t="str">
        <x:v>星期</x:v>
      </x:c>
      <x:c r="C254" s="20" t="str">
        <x:v>日期</x:v>
      </x:c>
      <x:c r="D254" s="20" t="str">
        <x:v>开盘</x:v>
      </x:c>
      <x:c r="E254" s="20" t="str">
        <x:v>高点</x:v>
      </x:c>
      <x:c r="F254" s="20" t="str">
        <x:v>低点</x:v>
      </x:c>
      <x:c r="G254" s="20" t="str">
        <x:v>收盘</x:v>
      </x:c>
      <x:c r="H254" s="20" t="str">
        <x:v>涨跌点数</x:v>
      </x:c>
      <x:c r="I254" s="20" t="str">
        <x:v>涨幅</x:v>
      </x:c>
      <x:c r="J254" s="20" t="str">
        <x:v>振幅</x:v>
      </x:c>
      <x:c r="K254" s="20" t="str">
        <x:v>标的</x:v>
      </x:c>
    </x:row>
    <x:row r="255">
      <x:c r="A255" s="23" t="n">
        <x:v>1</x:v>
      </x:c>
      <x:c r="B255" s="23" t="str">
        <x:v>周一</x:v>
      </x:c>
      <x:c r="C255" s="23" t="str">
        <x:v>11月3日</x:v>
      </x:c>
      <x:c r="D255" s="24" t="n">
        <x:v>4637</x:v>
      </x:c>
      <x:c r="E255" s="24" t="n">
        <x:v>4642.2</x:v>
      </x:c>
      <x:c r="F255" s="24" t="n">
        <x:v>4577.6</x:v>
      </x:c>
      <x:c r="G255" s="24" t="n">
        <x:v>4634.8</x:v>
      </x:c>
      <x:c r="H255" s="24"/>
      <x:c r="I255" s="25" t="n">
        <x:v>0.0007341192727901014</x:v>
      </x:c>
      <x:c r="J255" s="24" t="n">
        <x:f>ROUND(E255-F255,1)</x:f>
        <x:v>64.6</x:v>
      </x:c>
      <x:c r="K255" s="23" t="str">
        <x:v>IF2512</x:v>
      </x:c>
    </x:row>
    <x:row r="256">
      <x:c r="A256" s="23" t="n">
        <x:v>2</x:v>
      </x:c>
      <x:c r="B256" s="23" t="str">
        <x:v>周二</x:v>
      </x:c>
      <x:c r="C256" s="23" t="str">
        <x:v>11月4日</x:v>
      </x:c>
      <x:c r="D256" s="24" t="n">
        <x:v>4629.6</x:v>
      </x:c>
      <x:c r="E256" s="24" t="n">
        <x:v>4639.4</x:v>
      </x:c>
      <x:c r="F256" s="24" t="n">
        <x:v>4558.2</x:v>
      </x:c>
      <x:c r="G256" s="24" t="n">
        <x:v>4589</x:v>
      </x:c>
      <x:c r="H256" s="24"/>
      <x:c r="I256" s="25" t="n">
        <x:v>-0.009881764045913566</x:v>
      </x:c>
      <x:c r="J256" s="24" t="n">
        <x:f>ROUND(E256-F256,1)</x:f>
        <x:v>81.2</x:v>
      </x:c>
      <x:c r="K256" s="23" t="str">
        <x:v>IF2512</x:v>
      </x:c>
    </x:row>
    <x:row r="257">
      <x:c r="A257" s="23" t="n">
        <x:v>3</x:v>
      </x:c>
      <x:c r="B257" s="23" t="str">
        <x:v>周三</x:v>
      </x:c>
      <x:c r="C257" s="23" t="str">
        <x:v>11月5日</x:v>
      </x:c>
      <x:c r="D257" s="24" t="n">
        <x:v>4536.6</x:v>
      </x:c>
      <x:c r="E257" s="24" t="n">
        <x:v>4621.4</x:v>
      </x:c>
      <x:c r="F257" s="24" t="n">
        <x:v>4536</x:v>
      </x:c>
      <x:c r="G257" s="24" t="n">
        <x:v>4596.6</x:v>
      </x:c>
      <x:c r="H257" s="24"/>
      <x:c r="I257" s="25" t="n">
        <x:v>0.001656134234037987</x:v>
      </x:c>
      <x:c r="J257" s="24" t="n">
        <x:f>ROUND(E257-F257,1)</x:f>
        <x:v>85.4</x:v>
      </x:c>
      <x:c r="K257" s="23" t="str">
        <x:v>IF2512</x:v>
      </x:c>
    </x:row>
    <x:row r="258">
      <x:c r="A258" s="23" t="n">
        <x:v>4</x:v>
      </x:c>
      <x:c r="B258" s="23" t="str">
        <x:v>周四</x:v>
      </x:c>
      <x:c r="C258" s="23" t="str">
        <x:v>11月6日</x:v>
      </x:c>
      <x:c r="D258" s="24" t="n">
        <x:v>4611</x:v>
      </x:c>
      <x:c r="E258" s="24" t="n">
        <x:v>4682.6</x:v>
      </x:c>
      <x:c r="F258" s="24" t="n">
        <x:v>4608</x:v>
      </x:c>
      <x:c r="G258" s="24" t="n">
        <x:v>4670.8</x:v>
      </x:c>
      <x:c r="H258" s="24"/>
      <x:c r="I258" s="25" t="n">
        <x:v>0.016142366096680183</x:v>
      </x:c>
      <x:c r="J258" s="24" t="n">
        <x:f>ROUND(E258-F258,1)</x:f>
        <x:v>74.6</x:v>
      </x:c>
      <x:c r="K258" s="23" t="str">
        <x:v>IF2512</x:v>
      </x:c>
    </x:row>
    <x:row r="259">
      <x:c r="A259" s="23" t="n">
        <x:v>5</x:v>
      </x:c>
      <x:c r="B259" s="23" t="str">
        <x:v>周五</x:v>
      </x:c>
      <x:c r="C259" s="23" t="str">
        <x:v>11月7日</x:v>
      </x:c>
      <x:c r="D259" s="24" t="n">
        <x:v>4656</x:v>
      </x:c>
      <x:c r="E259" s="24" t="n">
        <x:v>4676.8</x:v>
      </x:c>
      <x:c r="F259" s="24" t="n">
        <x:v>4638</x:v>
      </x:c>
      <x:c r="G259" s="24" t="n">
        <x:v>4659.4</x:v>
      </x:c>
      <x:c r="H259" s="24"/>
      <x:c r="I259" s="25" t="n">
        <x:v>-0.0024406953840885315</x:v>
      </x:c>
      <x:c r="J259" s="24" t="n">
        <x:f>ROUND(E259-F259,1)</x:f>
        <x:v>38.8</x:v>
      </x:c>
      <x:c r="K259" s="23" t="str">
        <x:v>IF2512</x:v>
      </x:c>
    </x:row>
    <x:row r="260">
      <x:c r="A260" s="23" t="n">
        <x:v>6</x:v>
      </x:c>
      <x:c r="B260" s="23" t="str">
        <x:v>周一</x:v>
      </x:c>
      <x:c r="C260" s="23" t="str">
        <x:v>11月10日</x:v>
      </x:c>
      <x:c r="D260" s="24" t="n">
        <x:v>4675</x:v>
      </x:c>
      <x:c r="E260" s="24" t="n">
        <x:v>4678</x:v>
      </x:c>
      <x:c r="F260" s="24" t="n">
        <x:v>4626.4</x:v>
      </x:c>
      <x:c r="G260" s="24" t="n">
        <x:v>4672</x:v>
      </x:c>
      <x:c r="H260" s="24"/>
      <x:c r="I260" s="25" t="n">
        <x:v>0.002704210842597865</x:v>
      </x:c>
      <x:c r="J260" s="24" t="n">
        <x:f>ROUND(E260-F260,1)</x:f>
        <x:v>51.6</x:v>
      </x:c>
      <x:c r="K260" s="23" t="str">
        <x:v>IF2512</x:v>
      </x:c>
    </x:row>
    <x:row r="261">
      <x:c r="A261" s="23" t="n">
        <x:v>7</x:v>
      </x:c>
      <x:c r="B261" s="23" t="str">
        <x:v>周二</x:v>
      </x:c>
      <x:c r="C261" s="23" t="str">
        <x:v>11月11日</x:v>
      </x:c>
      <x:c r="D261" s="24" t="n">
        <x:v>4684.4</x:v>
      </x:c>
      <x:c r="E261" s="24" t="n">
        <x:v>4690.6</x:v>
      </x:c>
      <x:c r="F261" s="24" t="n">
        <x:v>4618.4</x:v>
      </x:c>
      <x:c r="G261" s="24" t="n">
        <x:v>4626.8</x:v>
      </x:c>
      <x:c r="H261" s="24"/>
      <x:c r="I261" s="25" t="n">
        <x:v>-0.009674657534246567</x:v>
      </x:c>
      <x:c r="J261" s="24" t="n">
        <x:f>ROUND(E261-F261,1)</x:f>
        <x:v>72.2</x:v>
      </x:c>
      <x:c r="K261" s="23" t="str">
        <x:v>IF2512</x:v>
      </x:c>
    </x:row>
    <x:row r="262">
      <x:c r="A262" s="23" t="n">
        <x:v>8</x:v>
      </x:c>
      <x:c r="B262" s="23" t="str">
        <x:v>周三</x:v>
      </x:c>
      <x:c r="C262" s="23" t="str">
        <x:v>11月12日</x:v>
      </x:c>
      <x:c r="D262" s="24" t="n">
        <x:v>4628.6</x:v>
      </x:c>
      <x:c r="E262" s="24" t="n">
        <x:v>4649.4</x:v>
      </x:c>
      <x:c r="F262" s="24" t="n">
        <x:v>4593.8</x:v>
      </x:c>
      <x:c r="G262" s="24" t="n">
        <x:v>4628</x:v>
      </x:c>
      <x:c r="H262" s="24"/>
      <x:c r="I262" s="25" t="n">
        <x:v>0.00025935851992731074</x:v>
      </x:c>
      <x:c r="J262" s="24" t="n">
        <x:f>ROUND(E262-F262,1)</x:f>
        <x:v>55.6</x:v>
      </x:c>
      <x:c r="K262" s="23" t="str">
        <x:v>IF2512</x:v>
      </x:c>
    </x:row>
    <x:row r="263">
      <x:c r="A263" s="23" t="n">
        <x:v>9</x:v>
      </x:c>
      <x:c r="B263" s="23" t="str">
        <x:v>周四</x:v>
      </x:c>
      <x:c r="C263" s="23" t="str">
        <x:v>11月13日</x:v>
      </x:c>
      <x:c r="D263" s="24" t="n">
        <x:v>4620</x:v>
      </x:c>
      <x:c r="E263" s="24" t="n">
        <x:v>4682.4</x:v>
      </x:c>
      <x:c r="F263" s="24" t="n">
        <x:v>4617.6</x:v>
      </x:c>
      <x:c r="G263" s="24" t="n">
        <x:v>4677</x:v>
      </x:c>
      <x:c r="H263" s="24"/>
      <x:c r="I263" s="25" t="n">
        <x:v>0.010587726879861759</x:v>
      </x:c>
      <x:c r="J263" s="24" t="n">
        <x:f>ROUND(E263-F263,1)</x:f>
        <x:v>64.8</x:v>
      </x:c>
      <x:c r="K263" s="23" t="str">
        <x:v>IF2512</x:v>
      </x:c>
    </x:row>
    <x:row r="264">
      <x:c r="A264" s="23" t="n">
        <x:v>10</x:v>
      </x:c>
      <x:c r="B264" s="23" t="str">
        <x:v>周五</x:v>
      </x:c>
      <x:c r="C264" s="23" t="str">
        <x:v>11月14日</x:v>
      </x:c>
      <x:c r="D264" s="24" t="n">
        <x:v>4650</x:v>
      </x:c>
      <x:c r="E264" s="24" t="n">
        <x:v>4661.8</x:v>
      </x:c>
      <x:c r="F264" s="24" t="n">
        <x:v>4600</x:v>
      </x:c>
      <x:c r="G264" s="24" t="n">
        <x:v>4600.4</x:v>
      </x:c>
      <x:c r="H264" s="24"/>
      <x:c r="I264" s="25" t="n">
        <x:v>-0.016378020098353763</x:v>
      </x:c>
      <x:c r="J264" s="24" t="n">
        <x:f>ROUND(E264-F264,1)</x:f>
        <x:v>61.8</x:v>
      </x:c>
      <x:c r="K264" s="23" t="str">
        <x:v>IF2512</x:v>
      </x:c>
    </x:row>
    <x:row r="265">
      <x:c r="A265" s="23" t="n">
        <x:v>11</x:v>
      </x:c>
      <x:c r="B265" s="23" t="str">
        <x:v>周一</x:v>
      </x:c>
      <x:c r="C265" s="23" t="str">
        <x:v>11月17日</x:v>
      </x:c>
      <x:c r="D265" s="24" t="n">
        <x:v>4596.2</x:v>
      </x:c>
      <x:c r="E265" s="24" t="n">
        <x:v>4605</x:v>
      </x:c>
      <x:c r="F265" s="24" t="n">
        <x:v>4558.8</x:v>
      </x:c>
      <x:c r="G265" s="24" t="n">
        <x:v>4581.4</x:v>
      </x:c>
      <x:c r="H265" s="24"/>
      <x:c r="I265" s="25" t="n">
        <x:v>-0.004130075645596087</x:v>
      </x:c>
      <x:c r="J265" s="24" t="n">
        <x:f>ROUND(E265-F265,1)</x:f>
        <x:v>46.2</x:v>
      </x:c>
      <x:c r="K265" s="23" t="str">
        <x:v>IF2512</x:v>
      </x:c>
    </x:row>
    <x:row r="266">
      <x:c r="A266" s="23" t="n">
        <x:v>12</x:v>
      </x:c>
      <x:c r="B266" s="23" t="str">
        <x:v>周二</x:v>
      </x:c>
      <x:c r="C266" s="23" t="str">
        <x:v>11月18日</x:v>
      </x:c>
      <x:c r="D266" s="24" t="n">
        <x:v>4571</x:v>
      </x:c>
      <x:c r="E266" s="24" t="n">
        <x:v>4586</x:v>
      </x:c>
      <x:c r="F266" s="24" t="n">
        <x:v>4530.4</x:v>
      </x:c>
      <x:c r="G266" s="24" t="n">
        <x:v>4555</x:v>
      </x:c>
      <x:c r="H266" s="24"/>
      <x:c r="I266" s="25" t="n">
        <x:v>-0.005762430698039833</x:v>
      </x:c>
      <x:c r="J266" s="24" t="n">
        <x:f>ROUND(E266-F266,1)</x:f>
        <x:v>55.6</x:v>
      </x:c>
      <x:c r="K266" s="23" t="str">
        <x:v>IF2512</x:v>
      </x:c>
    </x:row>
    <x:row r="267">
      <x:c r="A267" s="23" t="n">
        <x:v>13</x:v>
      </x:c>
      <x:c r="B267" s="23" t="str">
        <x:v>周三</x:v>
      </x:c>
      <x:c r="C267" s="23" t="str">
        <x:v>11月19日</x:v>
      </x:c>
      <x:c r="D267" s="24" t="n">
        <x:v>4558.6</x:v>
      </x:c>
      <x:c r="E267" s="24" t="n">
        <x:v>4587</x:v>
      </x:c>
      <x:c r="F267" s="24" t="n">
        <x:v>4544.2</x:v>
      </x:c>
      <x:c r="G267" s="24" t="n">
        <x:v>4565.2</x:v>
      </x:c>
      <x:c r="H267" s="24"/>
      <x:c r="I267" s="25" t="n">
        <x:v>0.002239297475301827</x:v>
      </x:c>
      <x:c r="J267" s="24" t="n">
        <x:f>ROUND(E267-F267,1)</x:f>
        <x:v>42.8</x:v>
      </x:c>
      <x:c r="K267" s="23" t="str">
        <x:v>IF2512</x:v>
      </x:c>
    </x:row>
    <x:row r="268">
      <x:c r="A268" s="23" t="n">
        <x:v>14</x:v>
      </x:c>
      <x:c r="B268" s="23" t="str">
        <x:v>周四</x:v>
      </x:c>
      <x:c r="C268" s="23" t="str">
        <x:v>11月20日</x:v>
      </x:c>
      <x:c r="D268" s="24" t="n">
        <x:v>4590.8</x:v>
      </x:c>
      <x:c r="E268" s="24" t="n">
        <x:v>4599.2</x:v>
      </x:c>
      <x:c r="F268" s="24" t="n">
        <x:v>4535.2</x:v>
      </x:c>
      <x:c r="G268" s="24" t="n">
        <x:v>4539.2</x:v>
      </x:c>
      <x:c r="H268" s="24"/>
      <x:c r="I268" s="25" t="n">
        <x:v>-0.005695259791465901</x:v>
      </x:c>
      <x:c r="J268" s="24" t="n">
        <x:f>ROUND(E268-F268,1)</x:f>
        <x:v>64</x:v>
      </x:c>
      <x:c r="K268" s="23" t="str">
        <x:v>IF2512</x:v>
      </x:c>
    </x:row>
    <x:row r="269">
      <x:c r="A269" s="33" t="n">
        <x:v>15</x:v>
      </x:c>
      <x:c r="B269" s="33" t="str">
        <x:v>周五</x:v>
      </x:c>
      <x:c r="C269" s="33" t="str">
        <x:v>11月21日</x:v>
      </x:c>
      <x:c r="D269" s="34" t="n">
        <x:v>4509.6</x:v>
      </x:c>
      <x:c r="E269" s="34" t="n">
        <x:v>4521.4</x:v>
      </x:c>
      <x:c r="F269" s="34" t="n">
        <x:v>4427.2</x:v>
      </x:c>
      <x:c r="G269" s="34" t="n">
        <x:v>4428.4</x:v>
      </x:c>
      <x:c r="H269" s="34"/>
      <x:c r="I269" s="35" t="n">
        <x:v>-0.024409587592527315</x:v>
      </x:c>
      <x:c r="J269" s="29" t="n">
        <x:f>ROUND(E269-F269,1)</x:f>
        <x:v>94.2</x:v>
      </x:c>
      <x:c r="K269" s="33" t="str">
        <x:v>IF2512</x:v>
      </x:c>
    </x:row>
    <x:row r="270">
      <x:c r="A270" s="23" t="n">
        <x:v>16</x:v>
      </x:c>
      <x:c r="B270" s="23" t="str">
        <x:v>周一</x:v>
      </x:c>
      <x:c r="C270" s="23" t="str">
        <x:v>11月24日</x:v>
      </x:c>
      <x:c r="D270" s="24" t="n">
        <x:v>4451</x:v>
      </x:c>
      <x:c r="E270" s="24" t="n">
        <x:v>4454.6</x:v>
      </x:c>
      <x:c r="F270" s="24" t="n">
        <x:v>4408.8</x:v>
      </x:c>
      <x:c r="G270" s="24" t="n">
        <x:v>4435.2</x:v>
      </x:c>
      <x:c r="H270" s="24"/>
      <x:c r="I270" s="25" t="n">
        <x:v>0.0015355433113539707</x:v>
      </x:c>
      <x:c r="J270" s="24" t="n">
        <x:f>ROUND(E270-F270,1)</x:f>
        <x:v>45.8</x:v>
      </x:c>
      <x:c r="K270" s="23" t="str">
        <x:v>IF2512</x:v>
      </x:c>
    </x:row>
    <x:row r="271">
      <x:c r="A271" s="23" t="n">
        <x:v>17</x:v>
      </x:c>
      <x:c r="B271" s="23" t="str">
        <x:v>周二</x:v>
      </x:c>
      <x:c r="C271" s="23" t="str">
        <x:v>11月25日</x:v>
      </x:c>
      <x:c r="D271" s="24" t="n">
        <x:v>4458.8</x:v>
      </x:c>
      <x:c r="E271" s="24" t="n">
        <x:v>4504</x:v>
      </x:c>
      <x:c r="F271" s="24" t="n">
        <x:v>4455.6</x:v>
      </x:c>
      <x:c r="G271" s="24" t="n">
        <x:v>4473</x:v>
      </x:c>
      <x:c r="H271" s="24"/>
      <x:c r="I271" s="25" t="n">
        <x:v>0.008522727272727293</x:v>
      </x:c>
      <x:c r="J271" s="24" t="n">
        <x:f>ROUND(E271-F271,1)</x:f>
        <x:v>48.4</x:v>
      </x:c>
      <x:c r="K271" s="23" t="str">
        <x:v>IF2512</x:v>
      </x:c>
    </x:row>
    <x:row r="272">
      <x:c r="A272" s="23" t="n">
        <x:v>18</x:v>
      </x:c>
      <x:c r="B272" s="23" t="str">
        <x:v>周三</x:v>
      </x:c>
      <x:c r="C272" s="23" t="str">
        <x:v>11月26日</x:v>
      </x:c>
      <x:c r="D272" s="24" t="n">
        <x:v>4482.8</x:v>
      </x:c>
      <x:c r="E272" s="24" t="n">
        <x:v>4519</x:v>
      </x:c>
      <x:c r="F272" s="24" t="n">
        <x:v>4471</x:v>
      </x:c>
      <x:c r="G272" s="24" t="n">
        <x:v>4493</x:v>
      </x:c>
      <x:c r="H272" s="24"/>
      <x:c r="I272" s="25" t="n">
        <x:v>0.004471272076905786</x:v>
      </x:c>
      <x:c r="J272" s="24" t="n">
        <x:f>ROUND(E272-F272,1)</x:f>
        <x:v>48</x:v>
      </x:c>
      <x:c r="K272" s="23" t="str">
        <x:v>IF2512</x:v>
      </x:c>
    </x:row>
    <x:row r="273">
      <x:c r="A273" s="23" t="n">
        <x:v>19</x:v>
      </x:c>
      <x:c r="B273" s="23" t="str">
        <x:v>周四</x:v>
      </x:c>
      <x:c r="C273" s="23" t="str">
        <x:v>11月27日</x:v>
      </x:c>
      <x:c r="D273" s="24" t="n">
        <x:v>4499</x:v>
      </x:c>
      <x:c r="E273" s="24" t="n">
        <x:v>4549</x:v>
      </x:c>
      <x:c r="F273" s="24" t="n">
        <x:v>4487.6</x:v>
      </x:c>
      <x:c r="G273" s="24" t="n">
        <x:v>4492.6</x:v>
      </x:c>
      <x:c r="H273" s="24"/>
      <x:c r="I273" s="25" t="n">
        <x:v>-0.00008902737591798271</x:v>
      </x:c>
      <x:c r="J273" s="24" t="n">
        <x:f>ROUND(E273-F273,1)</x:f>
        <x:v>61.4</x:v>
      </x:c>
      <x:c r="K273" s="23" t="str">
        <x:v>IF2512</x:v>
      </x:c>
    </x:row>
    <x:row r="274">
      <x:c r="A274" s="23" t="n">
        <x:v>20</x:v>
      </x:c>
      <x:c r="B274" s="23" t="str">
        <x:v>周五</x:v>
      </x:c>
      <x:c r="C274" s="23" t="str">
        <x:v>11月28日</x:v>
      </x:c>
      <x:c r="D274" s="24" t="n">
        <x:v>4492</x:v>
      </x:c>
      <x:c r="E274" s="24" t="n">
        <x:v>4515.8</x:v>
      </x:c>
      <x:c r="F274" s="24" t="n">
        <x:v>4476</x:v>
      </x:c>
      <x:c r="G274" s="24" t="n">
        <x:v>4505.8</x:v>
      </x:c>
      <x:c r="H274" s="24"/>
      <x:c r="I274" s="25" t="n">
        <x:v>0.002938164982415392</x:v>
      </x:c>
      <x:c r="J274" s="24" t="n">
        <x:f>ROUND(E274-F274,1)</x:f>
        <x:v>39.8</x:v>
      </x:c>
      <x:c r="K274" s="23" t="str">
        <x:v>IF2512</x:v>
      </x:c>
    </x:row>
    <x:row r="275">
      <x:c r="A275" s="38" t="str">
        <x:v>合计</x:v>
      </x:c>
      <x:c r="B275" s="37" t="n">
        <x:v>20</x:v>
      </x:c>
      <x:c r="C275" s="37"/>
      <x:c r="D275" s="37"/>
      <x:c r="E275" s="37"/>
      <x:c r="F275" s="37"/>
      <x:c r="G275" s="37"/>
      <x:c r="H275" s="37"/>
      <x:c r="I275" s="37"/>
      <x:c r="J275" s="39" t="n">
        <x:f>ROUND(SUM(J255:J274),1)</x:f>
        <x:v>1196.8</x:v>
      </x:c>
      <x:c r="K275" s="37"/>
    </x:row>
    <x:row r="276">
      <x:c r="A276" s="38" t="str">
        <x:v>均值</x:v>
      </x:c>
      <x:c r="B276" s="37"/>
      <x:c r="C276" s="37"/>
      <x:c r="D276" s="37"/>
      <x:c r="E276" s="37"/>
      <x:c r="F276" s="37"/>
      <x:c r="G276" s="37"/>
      <x:c r="H276" s="37"/>
      <x:c r="I276" s="37"/>
      <x:c r="J276" s="41" t="n">
        <x:f>ROUND(IFERROR(AVERAGE(J255:J274),0),1)</x:f>
        <x:v>59.8</x:v>
      </x:c>
      <x:c r="K276" s="37"/>
    </x:row>
    <x:row r="278">
      <x:c r="A278" s="17" t="str">
        <x:v>12月</x:v>
      </x:c>
      <x:c r="B278" s="17"/>
      <x:c r="C278" s="17"/>
      <x:c r="D278" s="17"/>
      <x:c r="E278" s="17"/>
      <x:c r="F278" s="17"/>
      <x:c r="G278" s="17"/>
      <x:c r="H278" s="17"/>
      <x:c r="I278" s="17"/>
      <x:c r="J278" s="17"/>
      <x:c r="K278" s="17"/>
    </x:row>
    <x:row r="279">
      <x:c r="A279" s="20" t="str">
        <x:v>序号</x:v>
      </x:c>
      <x:c r="B279" s="20" t="str">
        <x:v>星期</x:v>
      </x:c>
      <x:c r="C279" s="20" t="str">
        <x:v>日期</x:v>
      </x:c>
      <x:c r="D279" s="20" t="str">
        <x:v>开盘</x:v>
      </x:c>
      <x:c r="E279" s="20" t="str">
        <x:v>高点</x:v>
      </x:c>
      <x:c r="F279" s="20" t="str">
        <x:v>低点</x:v>
      </x:c>
      <x:c r="G279" s="20" t="str">
        <x:v>收盘</x:v>
      </x:c>
      <x:c r="H279" s="20" t="str">
        <x:v>涨跌点数</x:v>
      </x:c>
      <x:c r="I279" s="20" t="str">
        <x:v>涨幅</x:v>
      </x:c>
      <x:c r="J279" s="20" t="str">
        <x:v>振幅</x:v>
      </x:c>
      <x:c r="K279" s="20" t="str">
        <x:v>标的</x:v>
      </x:c>
    </x:row>
    <x:row r="280">
      <x:c r="A280" s="23" t="n">
        <x:v>1</x:v>
      </x:c>
      <x:c r="B280" s="23" t="str">
        <x:v>周一</x:v>
      </x:c>
      <x:c r="C280" s="23" t="str">
        <x:v>12月1日</x:v>
      </x:c>
      <x:c r="D280" s="24" t="n">
        <x:v>4516.8</x:v>
      </x:c>
      <x:c r="E280" s="24" t="n">
        <x:v>4555.8</x:v>
      </x:c>
      <x:c r="F280" s="24" t="n">
        <x:v>4511.8</x:v>
      </x:c>
      <x:c r="G280" s="24" t="n">
        <x:v>4555.4</x:v>
      </x:c>
      <x:c r="H280" s="24"/>
      <x:c r="I280" s="25" t="n">
        <x:v>0.011008034089395657</x:v>
      </x:c>
      <x:c r="J280" s="24" t="n">
        <x:f>ROUND(E280-F280,1)</x:f>
        <x:v>44</x:v>
      </x:c>
      <x:c r="K280" s="23" t="str">
        <x:v>IF2512</x:v>
      </x:c>
    </x:row>
    <x:row r="281">
      <x:c r="A281" s="23" t="n">
        <x:v>2</x:v>
      </x:c>
      <x:c r="B281" s="23" t="str">
        <x:v>周二</x:v>
      </x:c>
      <x:c r="C281" s="23" t="str">
        <x:v>12月2日</x:v>
      </x:c>
      <x:c r="D281" s="24" t="n">
        <x:v>4555.4</x:v>
      </x:c>
      <x:c r="E281" s="24" t="n">
        <x:v>4559.8</x:v>
      </x:c>
      <x:c r="F281" s="24" t="n">
        <x:v>4521.6</x:v>
      </x:c>
      <x:c r="G281" s="24" t="n">
        <x:v>4535.8</x:v>
      </x:c>
      <x:c r="H281" s="24"/>
      <x:c r="I281" s="25" t="n">
        <x:v>-0.00430258594195887</x:v>
      </x:c>
      <x:c r="J281" s="24" t="n">
        <x:f>ROUND(E281-F281,1)</x:f>
        <x:v>38.2</x:v>
      </x:c>
      <x:c r="K281" s="23" t="str">
        <x:v>IF2512</x:v>
      </x:c>
    </x:row>
    <x:row r="282">
      <x:c r="A282" s="23" t="n">
        <x:v>3</x:v>
      </x:c>
      <x:c r="B282" s="23" t="str">
        <x:v>周三</x:v>
      </x:c>
      <x:c r="C282" s="23" t="str">
        <x:v>12月3日</x:v>
      </x:c>
      <x:c r="D282" s="24" t="n">
        <x:v>4538.2</x:v>
      </x:c>
      <x:c r="E282" s="24" t="n">
        <x:v>4556</x:v>
      </x:c>
      <x:c r="F282" s="24" t="n">
        <x:v>4504.2</x:v>
      </x:c>
      <x:c r="G282" s="24" t="n">
        <x:v>4518.2</x:v>
      </x:c>
      <x:c r="H282" s="24"/>
      <x:c r="I282" s="25" t="n">
        <x:v>-0.0038802416332290868</x:v>
      </x:c>
      <x:c r="J282" s="24" t="n">
        <x:f>ROUND(E282-F282,1)</x:f>
        <x:v>51.8</x:v>
      </x:c>
      <x:c r="K282" s="23" t="str">
        <x:v>IF2512</x:v>
      </x:c>
    </x:row>
    <x:row r="283">
      <x:c r="A283" s="23" t="n">
        <x:v>4</x:v>
      </x:c>
      <x:c r="B283" s="23" t="str">
        <x:v>周四</x:v>
      </x:c>
      <x:c r="C283" s="23" t="str">
        <x:v>12月4日</x:v>
      </x:c>
      <x:c r="D283" s="24" t="n">
        <x:v>4525</x:v>
      </x:c>
      <x:c r="E283" s="24" t="n">
        <x:v>4547.8</x:v>
      </x:c>
      <x:c r="F283" s="24" t="n">
        <x:v>4500.8</x:v>
      </x:c>
      <x:c r="G283" s="24" t="n">
        <x:v>4530.6</x:v>
      </x:c>
      <x:c r="H283" s="24"/>
      <x:c r="I283" s="25" t="n">
        <x:v>0.0027444557567173344</x:v>
      </x:c>
      <x:c r="J283" s="24" t="n">
        <x:f>ROUND(E283-F283,1)</x:f>
        <x:v>47</x:v>
      </x:c>
      <x:c r="K283" s="23" t="str">
        <x:v>IF2512</x:v>
      </x:c>
    </x:row>
    <x:row r="284">
      <x:c r="A284" s="23" t="n">
        <x:v>5</x:v>
      </x:c>
      <x:c r="B284" s="23" t="str">
        <x:v>周五</x:v>
      </x:c>
      <x:c r="C284" s="23" t="str">
        <x:v>12月5日</x:v>
      </x:c>
      <x:c r="D284" s="24" t="n">
        <x:v>4525</x:v>
      </x:c>
      <x:c r="E284" s="24" t="n">
        <x:v>4588.4</x:v>
      </x:c>
      <x:c r="F284" s="24" t="n">
        <x:v>4516.4</x:v>
      </x:c>
      <x:c r="G284" s="24" t="n">
        <x:v>4574.4</x:v>
      </x:c>
      <x:c r="H284" s="24"/>
      <x:c r="I284" s="25" t="n">
        <x:v>0.009667593696198962</x:v>
      </x:c>
      <x:c r="J284" s="24" t="n">
        <x:f>ROUND(E284-F284,1)</x:f>
        <x:v>72</x:v>
      </x:c>
      <x:c r="K284" s="23" t="str">
        <x:v>IF2512</x:v>
      </x:c>
    </x:row>
    <x:row r="285">
      <x:c r="A285" s="23" t="n">
        <x:v>6</x:v>
      </x:c>
      <x:c r="B285" s="23" t="str">
        <x:v>周一</x:v>
      </x:c>
      <x:c r="C285" s="23" t="str">
        <x:v>12月8日</x:v>
      </x:c>
      <x:c r="D285" s="24" t="n">
        <x:v>4590</x:v>
      </x:c>
      <x:c r="E285" s="24" t="n">
        <x:v>4635</x:v>
      </x:c>
      <x:c r="F285" s="24" t="n">
        <x:v>4589.6</x:v>
      </x:c>
      <x:c r="G285" s="24" t="n">
        <x:v>4613.2</x:v>
      </x:c>
      <x:c r="H285" s="24"/>
      <x:c r="I285" s="25" t="n">
        <x:v>0.008481986708639422</x:v>
      </x:c>
      <x:c r="J285" s="24" t="n">
        <x:f>ROUND(E285-F285,1)</x:f>
        <x:v>45.4</x:v>
      </x:c>
      <x:c r="K285" s="23" t="str">
        <x:v>IF2512</x:v>
      </x:c>
    </x:row>
    <x:row r="286">
      <x:c r="A286" s="23" t="n">
        <x:v>7</x:v>
      </x:c>
      <x:c r="B286" s="23" t="str">
        <x:v>周二</x:v>
      </x:c>
      <x:c r="C286" s="23" t="str">
        <x:v>12月9日</x:v>
      </x:c>
      <x:c r="D286" s="24" t="n">
        <x:v>4611.4</x:v>
      </x:c>
      <x:c r="E286" s="24" t="n">
        <x:v>4618.8</x:v>
      </x:c>
      <x:c r="F286" s="24" t="n">
        <x:v>4571.8</x:v>
      </x:c>
      <x:c r="G286" s="24" t="n">
        <x:v>4583.2</x:v>
      </x:c>
      <x:c r="H286" s="24"/>
      <x:c r="I286" s="25" t="n">
        <x:v>-0.006503078123645145</x:v>
      </x:c>
      <x:c r="J286" s="24" t="n">
        <x:f>ROUND(E286-F286,1)</x:f>
        <x:v>47</x:v>
      </x:c>
      <x:c r="K286" s="23" t="str">
        <x:v>IF2512</x:v>
      </x:c>
    </x:row>
    <x:row r="287">
      <x:c r="A287" s="23" t="n">
        <x:v>8</x:v>
      </x:c>
      <x:c r="B287" s="23" t="str">
        <x:v>周三</x:v>
      </x:c>
      <x:c r="C287" s="23" t="str">
        <x:v>12月10日</x:v>
      </x:c>
      <x:c r="D287" s="24" t="n">
        <x:v>4576</x:v>
      </x:c>
      <x:c r="E287" s="24" t="n">
        <x:v>4583.6</x:v>
      </x:c>
      <x:c r="F287" s="24" t="n">
        <x:v>4532</x:v>
      </x:c>
      <x:c r="G287" s="24" t="n">
        <x:v>4574.2</x:v>
      </x:c>
      <x:c r="H287" s="24"/>
      <x:c r="I287" s="25" t="n">
        <x:v>-0.0019636934892651725</x:v>
      </x:c>
      <x:c r="J287" s="24" t="n">
        <x:f>ROUND(E287-F287,1)</x:f>
        <x:v>51.6</x:v>
      </x:c>
      <x:c r="K287" s="23" t="str">
        <x:v>IF2512</x:v>
      </x:c>
    </x:row>
    <x:row r="288">
      <x:c r="A288" s="23" t="n">
        <x:v>9</x:v>
      </x:c>
      <x:c r="B288" s="23" t="str">
        <x:v>周四</x:v>
      </x:c>
      <x:c r="C288" s="23" t="str">
        <x:v>12月11日</x:v>
      </x:c>
      <x:c r="D288" s="24" t="n">
        <x:v>4585.2</x:v>
      </x:c>
      <x:c r="E288" s="24" t="n">
        <x:v>4593.2</x:v>
      </x:c>
      <x:c r="F288" s="24" t="n">
        <x:v>4534.6</x:v>
      </x:c>
      <x:c r="G288" s="24" t="n">
        <x:v>4539.6</x:v>
      </x:c>
      <x:c r="H288" s="24"/>
      <x:c r="I288" s="25" t="n">
        <x:v>-0.0075641642254382635</x:v>
      </x:c>
      <x:c r="J288" s="24" t="n">
        <x:f>ROUND(E288-F288,1)</x:f>
        <x:v>58.6</x:v>
      </x:c>
      <x:c r="K288" s="23" t="str">
        <x:v>IF2512</x:v>
      </x:c>
    </x:row>
    <x:row r="289">
      <x:c r="A289" s="23" t="n">
        <x:v>10</x:v>
      </x:c>
      <x:c r="B289" s="23" t="str">
        <x:v>周五</x:v>
      </x:c>
      <x:c r="C289" s="23" t="str">
        <x:v>12月12日</x:v>
      </x:c>
      <x:c r="D289" s="24" t="n">
        <x:v>4559.6</x:v>
      </x:c>
      <x:c r="E289" s="24" t="n">
        <x:v>4581.6</x:v>
      </x:c>
      <x:c r="F289" s="24" t="n">
        <x:v>4526</x:v>
      </x:c>
      <x:c r="G289" s="24" t="n">
        <x:v>4574</x:v>
      </x:c>
      <x:c r="H289" s="24"/>
      <x:c r="I289" s="25" t="n">
        <x:v>0.007577760155079716</x:v>
      </x:c>
      <x:c r="J289" s="24" t="n">
        <x:f>ROUND(E289-F289,1)</x:f>
        <x:v>55.6</x:v>
      </x:c>
      <x:c r="K289" s="23" t="str">
        <x:v>IF2512</x:v>
      </x:c>
    </x:row>
    <x:row r="290">
      <x:c r="A290" s="23" t="n">
        <x:v>11</x:v>
      </x:c>
      <x:c r="B290" s="23" t="str">
        <x:v>周一</x:v>
      </x:c>
      <x:c r="C290" s="23" t="str">
        <x:v>12月15日</x:v>
      </x:c>
      <x:c r="D290" s="24" t="n">
        <x:v>4548</x:v>
      </x:c>
      <x:c r="E290" s="24" t="n">
        <x:v>4593.2</x:v>
      </x:c>
      <x:c r="F290" s="24" t="n">
        <x:v>4545</x:v>
      </x:c>
      <x:c r="G290" s="24" t="n">
        <x:v>4545.6</x:v>
      </x:c>
      <x:c r="H290" s="24"/>
      <x:c r="I290" s="25" t="n">
        <x:v>-0.01595977262789683</x:v>
      </x:c>
      <x:c r="J290" s="24" t="n">
        <x:f>ROUND(E290-F290,1)</x:f>
        <x:v>48.2</x:v>
      </x:c>
      <x:c r="K290" s="23" t="str">
        <x:v>IF2512</x:v>
      </x:c>
    </x:row>
    <x:row r="291">
      <x:c r="A291" s="23" t="n">
        <x:v>12</x:v>
      </x:c>
      <x:c r="B291" s="23" t="str">
        <x:v>周二</x:v>
      </x:c>
      <x:c r="C291" s="23" t="str">
        <x:v>12月16日</x:v>
      </x:c>
      <x:c r="D291" s="24" t="n">
        <x:v>4540.8</x:v>
      </x:c>
      <x:c r="E291" s="24" t="n">
        <x:v>4547</x:v>
      </x:c>
      <x:c r="F291" s="24" t="n">
        <x:v>4473.8</x:v>
      </x:c>
      <x:c r="G291" s="24" t="n">
        <x:v>4499.4</x:v>
      </x:c>
      <x:c r="H291" s="24"/>
      <x:c r="I291" s="25" t="n">
        <x:v>-0.011019773383692644</x:v>
      </x:c>
      <x:c r="J291" s="24" t="n">
        <x:f>ROUND(E291-F291,1)</x:f>
        <x:v>73.2</x:v>
      </x:c>
      <x:c r="K291" s="23" t="str">
        <x:v>IF2512</x:v>
      </x:c>
    </x:row>
    <x:row r="292">
      <x:c r="A292" s="23" t="n">
        <x:v>13</x:v>
      </x:c>
      <x:c r="B292" s="23" t="str">
        <x:v>周三</x:v>
      </x:c>
      <x:c r="C292" s="23" t="str">
        <x:v>12月17日</x:v>
      </x:c>
      <x:c r="D292" s="24" t="n">
        <x:v>4499.4</x:v>
      </x:c>
      <x:c r="E292" s="24" t="n">
        <x:v>4598.2</x:v>
      </x:c>
      <x:c r="F292" s="24" t="n">
        <x:v>4492.4</x:v>
      </x:c>
      <x:c r="G292" s="24" t="n">
        <x:v>4578.2</x:v>
      </x:c>
      <x:c r="H292" s="24"/>
      <x:c r="I292" s="25" t="n">
        <x:v>0.018106663072291918</x:v>
      </x:c>
      <x:c r="J292" s="29" t="n">
        <x:f>ROUND(E292-F292,1)</x:f>
        <x:v>105.8</x:v>
      </x:c>
      <x:c r="K292" s="23" t="str">
        <x:v>IF2512</x:v>
      </x:c>
    </x:row>
    <x:row r="293">
      <x:c r="A293" s="23" t="n">
        <x:v>14</x:v>
      </x:c>
      <x:c r="B293" s="23" t="str">
        <x:v>周四</x:v>
      </x:c>
      <x:c r="C293" s="23" t="str">
        <x:v>12月18日</x:v>
      </x:c>
      <x:c r="D293" s="24" t="n">
        <x:v>4560</x:v>
      </x:c>
      <x:c r="E293" s="24" t="n">
        <x:v>4573.6</x:v>
      </x:c>
      <x:c r="F293" s="24" t="n">
        <x:v>4542.4</x:v>
      </x:c>
      <x:c r="G293" s="24" t="n">
        <x:v>4550.4</x:v>
      </x:c>
      <x:c r="H293" s="24"/>
      <x:c r="I293" s="25" t="n">
        <x:v>-0.005957634598411254</x:v>
      </x:c>
      <x:c r="J293" s="24" t="n">
        <x:f>ROUND(E293-F293,1)</x:f>
        <x:v>31.2</x:v>
      </x:c>
      <x:c r="K293" s="23" t="str">
        <x:v>IF2512</x:v>
      </x:c>
    </x:row>
    <x:row r="294">
      <x:c r="A294" s="33" t="n">
        <x:v>15</x:v>
      </x:c>
      <x:c r="B294" s="33" t="str">
        <x:v>周五</x:v>
      </x:c>
      <x:c r="C294" s="33" t="str">
        <x:v>12月19日</x:v>
      </x:c>
      <x:c r="D294" s="34" t="n">
        <x:v>4568.6</x:v>
      </x:c>
      <x:c r="E294" s="34" t="n">
        <x:v>4597</x:v>
      </x:c>
      <x:c r="F294" s="34" t="n">
        <x:v>4547.6</x:v>
      </x:c>
      <x:c r="G294" s="34" t="n">
        <x:v>4572</x:v>
      </x:c>
      <x:c r="H294" s="34"/>
      <x:c r="I294" s="35" t="n">
        <x:v>0.004883462819089912</x:v>
      </x:c>
      <x:c r="J294" s="34" t="n">
        <x:f>ROUND(E294-F294,1)</x:f>
        <x:v>49.4</x:v>
      </x:c>
      <x:c r="K294" s="33" t="str">
        <x:v>IF2512</x:v>
      </x:c>
    </x:row>
    <x:row r="295">
      <x:c r="A295" s="23" t="n">
        <x:v>16</x:v>
      </x:c>
      <x:c r="B295" s="23" t="str">
        <x:v>周一</x:v>
      </x:c>
      <x:c r="C295" s="23" t="str">
        <x:v>12月22日</x:v>
      </x:c>
      <x:c r="D295" s="24" t="n">
        <x:v>4542.2</x:v>
      </x:c>
      <x:c r="E295" s="24" t="n">
        <x:v>4579.2</x:v>
      </x:c>
      <x:c r="F295" s="24" t="n">
        <x:v>4542.2</x:v>
      </x:c>
      <x:c r="G295" s="24" t="n">
        <x:v>4564.8</x:v>
      </x:c>
      <x:c r="H295" s="24"/>
      <x:c r="I295" s="25" t="n">
        <x:v>0.0083499005964216</x:v>
      </x:c>
      <x:c r="J295" s="24" t="n">
        <x:f>ROUND(E295-F295,1)</x:f>
        <x:v>37</x:v>
      </x:c>
      <x:c r="K295" s="23" t="str">
        <x:v>IF2603</x:v>
      </x:c>
    </x:row>
    <x:row r="296">
      <x:c r="A296" s="23" t="n">
        <x:v>17</x:v>
      </x:c>
      <x:c r="B296" s="23" t="str">
        <x:v>周二</x:v>
      </x:c>
      <x:c r="C296" s="23" t="str">
        <x:v>12月23日</x:v>
      </x:c>
      <x:c r="D296" s="24" t="n">
        <x:v>4570</x:v>
      </x:c>
      <x:c r="E296" s="24" t="n">
        <x:v>4599</x:v>
      </x:c>
      <x:c r="F296" s="24" t="n">
        <x:v>4561.4</x:v>
      </x:c>
      <x:c r="G296" s="24" t="n">
        <x:v>4571.4</x:v>
      </x:c>
      <x:c r="H296" s="24"/>
      <x:c r="I296" s="25" t="n">
        <x:v>0.0014458464773920987</x:v>
      </x:c>
      <x:c r="J296" s="24" t="n">
        <x:f>ROUND(E296-F296,1)</x:f>
        <x:v>37.6</x:v>
      </x:c>
      <x:c r="K296" s="23" t="str">
        <x:v>IF2603</x:v>
      </x:c>
    </x:row>
    <x:row r="297">
      <x:c r="A297" s="23" t="n">
        <x:v>18</x:v>
      </x:c>
      <x:c r="B297" s="23" t="str">
        <x:v>周三</x:v>
      </x:c>
      <x:c r="C297" s="23" t="str">
        <x:v>12月24日</x:v>
      </x:c>
      <x:c r="D297" s="24" t="n">
        <x:v>4573</x:v>
      </x:c>
      <x:c r="E297" s="24" t="n">
        <x:v>4608.4</x:v>
      </x:c>
      <x:c r="F297" s="24" t="n">
        <x:v>4559</x:v>
      </x:c>
      <x:c r="G297" s="24" t="n">
        <x:v>4595</x:v>
      </x:c>
      <x:c r="H297" s="24"/>
      <x:c r="I297" s="25" t="n">
        <x:v>0.005162532265826636</x:v>
      </x:c>
      <x:c r="J297" s="24" t="n">
        <x:f>ROUND(E297-F297,1)</x:f>
        <x:v>49.4</x:v>
      </x:c>
      <x:c r="K297" s="23" t="str">
        <x:v>IF2603</x:v>
      </x:c>
    </x:row>
    <x:row r="298">
      <x:c r="A298" s="23" t="n">
        <x:v>19</x:v>
      </x:c>
      <x:c r="B298" s="23" t="str">
        <x:v>周四</x:v>
      </x:c>
      <x:c r="C298" s="23" t="str">
        <x:v>12月25日</x:v>
      </x:c>
      <x:c r="D298" s="24" t="n">
        <x:v>4586</x:v>
      </x:c>
      <x:c r="E298" s="24" t="n">
        <x:v>4624.8</x:v>
      </x:c>
      <x:c r="F298" s="24" t="n">
        <x:v>4586</x:v>
      </x:c>
      <x:c r="G298" s="24" t="n">
        <x:v>4610.6</x:v>
      </x:c>
      <x:c r="H298" s="24"/>
      <x:c r="I298" s="25" t="n">
        <x:v>0.003394994559303699</x:v>
      </x:c>
      <x:c r="J298" s="24" t="n">
        <x:f>ROUND(E298-F298,1)</x:f>
        <x:v>38.8</x:v>
      </x:c>
      <x:c r="K298" s="23" t="str">
        <x:v>IF2603</x:v>
      </x:c>
    </x:row>
    <x:row r="299">
      <x:c r="A299" s="23" t="n">
        <x:v>20</x:v>
      </x:c>
      <x:c r="B299" s="23" t="str">
        <x:v>周五</x:v>
      </x:c>
      <x:c r="C299" s="23" t="str">
        <x:v>12月26日</x:v>
      </x:c>
      <x:c r="D299" s="24" t="n">
        <x:v>4611.2</x:v>
      </x:c>
      <x:c r="E299" s="24" t="n">
        <x:v>4664.2</x:v>
      </x:c>
      <x:c r="F299" s="24" t="n">
        <x:v>4611.2</x:v>
      </x:c>
      <x:c r="G299" s="24" t="n">
        <x:v>4638.4</x:v>
      </x:c>
      <x:c r="H299" s="24"/>
      <x:c r="I299" s="25" t="n">
        <x:v>0.006029584002082089</x:v>
      </x:c>
      <x:c r="J299" s="24" t="n">
        <x:f>ROUND(E299-F299,1)</x:f>
        <x:v>53</x:v>
      </x:c>
      <x:c r="K299" s="23" t="str">
        <x:v>IF2603</x:v>
      </x:c>
    </x:row>
    <x:row r="300">
      <x:c r="A300" s="23" t="n">
        <x:v>21</x:v>
      </x:c>
      <x:c r="B300" s="23" t="str">
        <x:v>周一</x:v>
      </x:c>
      <x:c r="C300" s="23" t="str">
        <x:v>12月29日</x:v>
      </x:c>
      <x:c r="D300" s="24" t="n">
        <x:v>4640.2</x:v>
      </x:c>
      <x:c r="E300" s="24" t="n">
        <x:v>4645</x:v>
      </x:c>
      <x:c r="F300" s="24" t="n">
        <x:v>4595.2</x:v>
      </x:c>
      <x:c r="G300" s="24" t="n">
        <x:v>4610.2</x:v>
      </x:c>
      <x:c r="H300" s="24"/>
      <x:c r="I300" s="25" t="n">
        <x:v>-0.006079682649189344</x:v>
      </x:c>
      <x:c r="J300" s="24" t="n">
        <x:f>ROUND(E300-F300,1)</x:f>
        <x:v>49.8</x:v>
      </x:c>
      <x:c r="K300" s="23" t="str">
        <x:v>IF2603</x:v>
      </x:c>
    </x:row>
    <x:row r="301">
      <x:c r="A301" s="23" t="n">
        <x:v>22</x:v>
      </x:c>
      <x:c r="B301" s="23" t="str">
        <x:v>周二</x:v>
      </x:c>
      <x:c r="C301" s="23" t="str">
        <x:v>12月30日</x:v>
      </x:c>
      <x:c r="D301" s="24" t="n">
        <x:v>4598.8</x:v>
      </x:c>
      <x:c r="E301" s="24" t="n">
        <x:v>4645.2</x:v>
      </x:c>
      <x:c r="F301" s="24" t="n">
        <x:v>4590.4</x:v>
      </x:c>
      <x:c r="G301" s="24" t="n">
        <x:v>4622.2</x:v>
      </x:c>
      <x:c r="H301" s="24"/>
      <x:c r="I301" s="25" t="n">
        <x:v>0.0026029239512386226</x:v>
      </x:c>
      <x:c r="J301" s="24" t="n">
        <x:f>ROUND(E301-F301,1)</x:f>
        <x:v>54.8</x:v>
      </x:c>
      <x:c r="K301" s="23" t="str">
        <x:v>IF2603</x:v>
      </x:c>
    </x:row>
    <x:row r="302">
      <x:c r="A302" s="23" t="n">
        <x:v>23</x:v>
      </x:c>
      <x:c r="B302" s="23" t="str">
        <x:v>周三</x:v>
      </x:c>
      <x:c r="C302" s="23" t="str">
        <x:v>12月31日</x:v>
      </x:c>
      <x:c r="D302" s="24" t="n">
        <x:v>4628.2</x:v>
      </x:c>
      <x:c r="E302" s="24" t="n">
        <x:v>4634.6</x:v>
      </x:c>
      <x:c r="F302" s="24" t="n">
        <x:v>4581.2</x:v>
      </x:c>
      <x:c r="G302" s="24" t="n">
        <x:v>4599.8</x:v>
      </x:c>
      <x:c r="H302" s="24"/>
      <x:c r="I302" s="25" t="n">
        <x:v>-0.004846177145082398</x:v>
      </x:c>
      <x:c r="J302" s="24" t="n">
        <x:f>ROUND(E302-F302,1)</x:f>
        <x:v>53.4</x:v>
      </x:c>
      <x:c r="K302" s="23" t="str">
        <x:v>IF2603</x:v>
      </x:c>
    </x:row>
    <x:row r="303">
      <x:c r="A303" s="38" t="str">
        <x:v>合计</x:v>
      </x:c>
      <x:c r="B303" s="37" t="n">
        <x:v>23</x:v>
      </x:c>
      <x:c r="C303" s="37"/>
      <x:c r="D303" s="37"/>
      <x:c r="E303" s="37"/>
      <x:c r="F303" s="37"/>
      <x:c r="G303" s="37"/>
      <x:c r="H303" s="37"/>
      <x:c r="I303" s="37"/>
      <x:c r="J303" s="39" t="n">
        <x:f>ROUND(SUM(J280:J302),1)</x:f>
        <x:v>1192.8</x:v>
      </x:c>
      <x:c r="K303" s="37"/>
    </x:row>
    <x:row r="304">
      <x:c r="A304" s="38" t="str">
        <x:v>均值</x:v>
      </x:c>
      <x:c r="B304" s="37"/>
      <x:c r="C304" s="37"/>
      <x:c r="D304" s="37"/>
      <x:c r="E304" s="37"/>
      <x:c r="F304" s="37"/>
      <x:c r="G304" s="37"/>
      <x:c r="H304" s="37"/>
      <x:c r="I304" s="37"/>
      <x:c r="J304" s="41" t="n">
        <x:f>ROUND(IFERROR(AVERAGE(J280:J302),0),1)</x:f>
        <x:v>51.9</x:v>
      </x:c>
      <x:c r="K304" s="37"/>
    </x:row>
  </x:sheetData>
  <x:mergeCells>
    <x:mergeCell ref="A1:K1"/>
    <x:mergeCell ref="A3:K3"/>
    <x:mergeCell ref="A26:K26"/>
    <x:mergeCell ref="A49:K49"/>
    <x:mergeCell ref="A75:K75"/>
    <x:mergeCell ref="A101:K101"/>
    <x:mergeCell ref="A125:K125"/>
    <x:mergeCell ref="A150:K150"/>
    <x:mergeCell ref="A178:K178"/>
    <x:mergeCell ref="A204:K204"/>
    <x:mergeCell ref="A231:K231"/>
    <x:mergeCell ref="A253:K253"/>
    <x:mergeCell ref="A278:K278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4" hidden="0" customWidth="1"/>
  </x:cols>
  <x:sheetData>
    <x:row r="1" ht="38" customHeight="1">
      <x:c r="A1" s="15" t="str">
        <x:v>2025年统计 - IH主力</x:v>
      </x:c>
    </x:row>
    <x:row r="3">
      <x:c r="A3" s="17" t="str">
        <x:v>1月</x:v>
      </x:c>
      <x:c r="B3" s="17"/>
      <x:c r="C3" s="17"/>
      <x:c r="D3" s="17"/>
      <x:c r="E3" s="17"/>
      <x:c r="F3" s="17"/>
      <x:c r="G3" s="17"/>
      <x:c r="H3" s="17"/>
      <x:c r="I3" s="17"/>
      <x:c r="J3" s="17"/>
      <x:c r="K3" s="17"/>
    </x:row>
    <x:row r="4">
      <x:c r="A4" s="20" t="str">
        <x:v>序号</x:v>
      </x:c>
      <x:c r="B4" s="20" t="str">
        <x:v>星期</x:v>
      </x:c>
      <x:c r="C4" s="20" t="str">
        <x:v>日期</x:v>
      </x:c>
      <x:c r="D4" s="20" t="str">
        <x:v>开盘</x:v>
      </x:c>
      <x:c r="E4" s="20" t="str">
        <x:v>高点</x:v>
      </x:c>
      <x:c r="F4" s="20" t="str">
        <x:v>低点</x:v>
      </x:c>
      <x:c r="G4" s="20" t="str">
        <x:v>收盘</x:v>
      </x:c>
      <x:c r="H4" s="20" t="str">
        <x:v>涨跌点数</x:v>
      </x:c>
      <x:c r="I4" s="20" t="str">
        <x:v>涨幅</x:v>
      </x:c>
      <x:c r="J4" s="20" t="str">
        <x:v>振幅</x:v>
      </x:c>
      <x:c r="K4" s="20" t="str">
        <x:v>标的</x:v>
      </x:c>
    </x:row>
    <x:row r="5">
      <x:c r="A5" s="23" t="n">
        <x:v>1</x:v>
      </x:c>
      <x:c r="B5" s="23" t="str">
        <x:v>周四</x:v>
      </x:c>
      <x:c r="C5" s="23" t="str">
        <x:v>1月2日</x:v>
      </x:c>
      <x:c r="D5" s="24" t="n">
        <x:v>2680</x:v>
      </x:c>
      <x:c r="E5" s="24" t="n">
        <x:v>2690</x:v>
      </x:c>
      <x:c r="F5" s="24" t="n">
        <x:v>2590</x:v>
      </x:c>
      <x:c r="G5" s="24" t="n">
        <x:v>2619.8</x:v>
      </x:c>
      <x:c r="H5" s="24"/>
      <x:c r="I5" s="25" t="n">
        <x:v>-0.02290019394301046</x:v>
      </x:c>
      <x:c r="J5" s="29" t="n">
        <x:f>ROUND(E5-F5,1)</x:f>
        <x:v>100</x:v>
      </x:c>
      <x:c r="K5" s="23" t="str">
        <x:v>IH2503</x:v>
      </x:c>
    </x:row>
    <x:row r="6">
      <x:c r="A6" s="23" t="n">
        <x:v>2</x:v>
      </x:c>
      <x:c r="B6" s="23" t="str">
        <x:v>周五</x:v>
      </x:c>
      <x:c r="C6" s="23" t="str">
        <x:v>1月3日</x:v>
      </x:c>
      <x:c r="D6" s="24" t="n">
        <x:v>2625</x:v>
      </x:c>
      <x:c r="E6" s="24" t="n">
        <x:v>2625</x:v>
      </x:c>
      <x:c r="F6" s="24" t="n">
        <x:v>2578</x:v>
      </x:c>
      <x:c r="G6" s="24" t="n">
        <x:v>2592.2</x:v>
      </x:c>
      <x:c r="H6" s="24"/>
      <x:c r="I6" s="25" t="n">
        <x:v>-0.010535155355370751</x:v>
      </x:c>
      <x:c r="J6" s="24" t="n">
        <x:f>ROUND(E6-F6,1)</x:f>
        <x:v>47</x:v>
      </x:c>
      <x:c r="K6" s="23" t="str">
        <x:v>IH2503</x:v>
      </x:c>
    </x:row>
    <x:row r="7">
      <x:c r="A7" s="23" t="n">
        <x:v>3</x:v>
      </x:c>
      <x:c r="B7" s="23" t="str">
        <x:v>周一</x:v>
      </x:c>
      <x:c r="C7" s="23" t="str">
        <x:v>1月6日</x:v>
      </x:c>
      <x:c r="D7" s="24" t="n">
        <x:v>2592.6</x:v>
      </x:c>
      <x:c r="E7" s="24" t="n">
        <x:v>2598</x:v>
      </x:c>
      <x:c r="F7" s="24" t="n">
        <x:v>2557.6</x:v>
      </x:c>
      <x:c r="G7" s="24" t="n">
        <x:v>2580.2</x:v>
      </x:c>
      <x:c r="H7" s="24"/>
      <x:c r="I7" s="25" t="n">
        <x:v>-0.0046292724326826296</x:v>
      </x:c>
      <x:c r="J7" s="24" t="n">
        <x:f>ROUND(E7-F7,1)</x:f>
        <x:v>40.4</x:v>
      </x:c>
      <x:c r="K7" s="23" t="str">
        <x:v>IH2503</x:v>
      </x:c>
    </x:row>
    <x:row r="8">
      <x:c r="A8" s="23" t="n">
        <x:v>4</x:v>
      </x:c>
      <x:c r="B8" s="23" t="str">
        <x:v>周二</x:v>
      </x:c>
      <x:c r="C8" s="23" t="str">
        <x:v>1月7日</x:v>
      </x:c>
      <x:c r="D8" s="24" t="n">
        <x:v>2582</x:v>
      </x:c>
      <x:c r="E8" s="24" t="n">
        <x:v>2600.2</x:v>
      </x:c>
      <x:c r="F8" s="24" t="n">
        <x:v>2571</x:v>
      </x:c>
      <x:c r="G8" s="24" t="n">
        <x:v>2596.6</x:v>
      </x:c>
      <x:c r="H8" s="24"/>
      <x:c r="I8" s="25" t="n">
        <x:v>0.006356096426633595</x:v>
      </x:c>
      <x:c r="J8" s="24" t="n">
        <x:f>ROUND(E8-F8,1)</x:f>
        <x:v>29.2</x:v>
      </x:c>
      <x:c r="K8" s="23" t="str">
        <x:v>IH2503</x:v>
      </x:c>
    </x:row>
    <x:row r="9">
      <x:c r="A9" s="23" t="n">
        <x:v>5</x:v>
      </x:c>
      <x:c r="B9" s="23" t="str">
        <x:v>周三</x:v>
      </x:c>
      <x:c r="C9" s="23" t="str">
        <x:v>1月8日</x:v>
      </x:c>
      <x:c r="D9" s="24" t="n">
        <x:v>2587.8</x:v>
      </x:c>
      <x:c r="E9" s="24" t="n">
        <x:v>2618</x:v>
      </x:c>
      <x:c r="F9" s="24" t="n">
        <x:v>2566.2</x:v>
      </x:c>
      <x:c r="G9" s="24" t="n">
        <x:v>2598.4</x:v>
      </x:c>
      <x:c r="H9" s="24"/>
      <x:c r="I9" s="25" t="n">
        <x:v>0.0006932142031887967</x:v>
      </x:c>
      <x:c r="J9" s="24" t="n">
        <x:f>ROUND(E9-F9,1)</x:f>
        <x:v>51.8</x:v>
      </x:c>
      <x:c r="K9" s="23" t="str">
        <x:v>IH2503</x:v>
      </x:c>
    </x:row>
    <x:row r="10">
      <x:c r="A10" s="23" t="n">
        <x:v>6</x:v>
      </x:c>
      <x:c r="B10" s="23" t="str">
        <x:v>周四</x:v>
      </x:c>
      <x:c r="C10" s="23" t="str">
        <x:v>1月9日</x:v>
      </x:c>
      <x:c r="D10" s="24" t="n">
        <x:v>2599</x:v>
      </x:c>
      <x:c r="E10" s="24" t="n">
        <x:v>2601.2</x:v>
      </x:c>
      <x:c r="F10" s="24" t="n">
        <x:v>2575.2</x:v>
      </x:c>
      <x:c r="G10" s="24" t="n">
        <x:v>2582.2</x:v>
      </x:c>
      <x:c r="H10" s="24"/>
      <x:c r="I10" s="25" t="n">
        <x:v>-0.006234605911330182</x:v>
      </x:c>
      <x:c r="J10" s="24" t="n">
        <x:f>ROUND(E10-F10,1)</x:f>
        <x:v>26</x:v>
      </x:c>
      <x:c r="K10" s="23" t="str">
        <x:v>IH2503</x:v>
      </x:c>
    </x:row>
    <x:row r="11">
      <x:c r="A11" s="23" t="n">
        <x:v>7</x:v>
      </x:c>
      <x:c r="B11" s="23" t="str">
        <x:v>周五</x:v>
      </x:c>
      <x:c r="C11" s="23" t="str">
        <x:v>1月10日</x:v>
      </x:c>
      <x:c r="D11" s="24" t="n">
        <x:v>2587.2</x:v>
      </x:c>
      <x:c r="E11" s="24" t="n">
        <x:v>2599.6</x:v>
      </x:c>
      <x:c r="F11" s="24" t="n">
        <x:v>2561</x:v>
      </x:c>
      <x:c r="G11" s="24" t="n">
        <x:v>2561.2</x:v>
      </x:c>
      <x:c r="H11" s="24"/>
      <x:c r="I11" s="25" t="n">
        <x:v>-0.00813260010843464</x:v>
      </x:c>
      <x:c r="J11" s="24" t="n">
        <x:f>ROUND(E11-F11,1)</x:f>
        <x:v>38.6</x:v>
      </x:c>
      <x:c r="K11" s="23" t="str">
        <x:v>IH2503</x:v>
      </x:c>
    </x:row>
    <x:row r="12">
      <x:c r="A12" s="23" t="n">
        <x:v>8</x:v>
      </x:c>
      <x:c r="B12" s="23" t="str">
        <x:v>周一</x:v>
      </x:c>
      <x:c r="C12" s="23" t="str">
        <x:v>1月13日</x:v>
      </x:c>
      <x:c r="D12" s="24" t="n">
        <x:v>2547.2</x:v>
      </x:c>
      <x:c r="E12" s="24" t="n">
        <x:v>2565.8</x:v>
      </x:c>
      <x:c r="F12" s="24" t="n">
        <x:v>2535</x:v>
      </x:c>
      <x:c r="G12" s="24" t="n">
        <x:v>2558</x:v>
      </x:c>
      <x:c r="H12" s="24"/>
      <x:c r="I12" s="25" t="n">
        <x:v>-0.0012494143370294086</x:v>
      </x:c>
      <x:c r="J12" s="24" t="n">
        <x:f>ROUND(E12-F12,1)</x:f>
        <x:v>30.8</x:v>
      </x:c>
      <x:c r="K12" s="23" t="str">
        <x:v>IH2503</x:v>
      </x:c>
    </x:row>
    <x:row r="13">
      <x:c r="A13" s="23" t="n">
        <x:v>9</x:v>
      </x:c>
      <x:c r="B13" s="23" t="str">
        <x:v>周二</x:v>
      </x:c>
      <x:c r="C13" s="23" t="str">
        <x:v>1月14日</x:v>
      </x:c>
      <x:c r="D13" s="24" t="n">
        <x:v>2562</x:v>
      </x:c>
      <x:c r="E13" s="24" t="n">
        <x:v>2614.2</x:v>
      </x:c>
      <x:c r="F13" s="24" t="n">
        <x:v>2555.2</x:v>
      </x:c>
      <x:c r="G13" s="24" t="n">
        <x:v>2600</x:v>
      </x:c>
      <x:c r="H13" s="24"/>
      <x:c r="I13" s="25" t="n">
        <x:v>0.016419077404222104</x:v>
      </x:c>
      <x:c r="J13" s="24" t="n">
        <x:f>ROUND(E13-F13,1)</x:f>
        <x:v>59</x:v>
      </x:c>
      <x:c r="K13" s="23" t="str">
        <x:v>IH2503</x:v>
      </x:c>
    </x:row>
    <x:row r="14">
      <x:c r="A14" s="23" t="n">
        <x:v>10</x:v>
      </x:c>
      <x:c r="B14" s="23" t="str">
        <x:v>周三</x:v>
      </x:c>
      <x:c r="C14" s="23" t="str">
        <x:v>1月15日</x:v>
      </x:c>
      <x:c r="D14" s="24" t="n">
        <x:v>2595</x:v>
      </x:c>
      <x:c r="E14" s="24" t="n">
        <x:v>2608.8</x:v>
      </x:c>
      <x:c r="F14" s="24" t="n">
        <x:v>2589</x:v>
      </x:c>
      <x:c r="G14" s="24" t="n">
        <x:v>2596.2</x:v>
      </x:c>
      <x:c r="H14" s="24"/>
      <x:c r="I14" s="25" t="n">
        <x:v>-0.001461538461538514</x:v>
      </x:c>
      <x:c r="J14" s="24" t="n">
        <x:f>ROUND(E14-F14,1)</x:f>
        <x:v>19.8</x:v>
      </x:c>
      <x:c r="K14" s="23" t="str">
        <x:v>IH2503</x:v>
      </x:c>
    </x:row>
    <x:row r="15">
      <x:c r="A15" s="23" t="n">
        <x:v>11</x:v>
      </x:c>
      <x:c r="B15" s="23" t="str">
        <x:v>周四</x:v>
      </x:c>
      <x:c r="C15" s="23" t="str">
        <x:v>1月16日</x:v>
      </x:c>
      <x:c r="D15" s="24" t="n">
        <x:v>2608</x:v>
      </x:c>
      <x:c r="E15" s="24" t="n">
        <x:v>2623</x:v>
      </x:c>
      <x:c r="F15" s="24" t="n">
        <x:v>2573.6</x:v>
      </x:c>
      <x:c r="G15" s="24" t="n">
        <x:v>2583</x:v>
      </x:c>
      <x:c r="H15" s="24"/>
      <x:c r="I15" s="25" t="n">
        <x:v>-0.0050843540559277756</x:v>
      </x:c>
      <x:c r="J15" s="24" t="n">
        <x:f>ROUND(E15-F15,1)</x:f>
        <x:v>49.4</x:v>
      </x:c>
      <x:c r="K15" s="23" t="str">
        <x:v>IH2503</x:v>
      </x:c>
    </x:row>
    <x:row r="16">
      <x:c r="A16" s="33" t="n">
        <x:v>12</x:v>
      </x:c>
      <x:c r="B16" s="33" t="str">
        <x:v>周五</x:v>
      </x:c>
      <x:c r="C16" s="33" t="str">
        <x:v>1月17日</x:v>
      </x:c>
      <x:c r="D16" s="34" t="n">
        <x:v>2579.4</x:v>
      </x:c>
      <x:c r="E16" s="34" t="n">
        <x:v>2602.6</x:v>
      </x:c>
      <x:c r="F16" s="34" t="n">
        <x:v>2564.2</x:v>
      </x:c>
      <x:c r="G16" s="34" t="n">
        <x:v>2585.8</x:v>
      </x:c>
      <x:c r="H16" s="34"/>
      <x:c r="I16" s="35" t="n">
        <x:v>0.0010840108401084514</x:v>
      </x:c>
      <x:c r="J16" s="34" t="n">
        <x:f>ROUND(E16-F16,1)</x:f>
        <x:v>38.4</x:v>
      </x:c>
      <x:c r="K16" s="33" t="str">
        <x:v>IH2503</x:v>
      </x:c>
    </x:row>
    <x:row r="17">
      <x:c r="A17" s="23" t="n">
        <x:v>13</x:v>
      </x:c>
      <x:c r="B17" s="23" t="str">
        <x:v>周一</x:v>
      </x:c>
      <x:c r="C17" s="23" t="str">
        <x:v>1月20日</x:v>
      </x:c>
      <x:c r="D17" s="24" t="n">
        <x:v>2600</x:v>
      </x:c>
      <x:c r="E17" s="24" t="n">
        <x:v>2616.6</x:v>
      </x:c>
      <x:c r="F17" s="24" t="n">
        <x:v>2587.2</x:v>
      </x:c>
      <x:c r="G17" s="24" t="n">
        <x:v>2593</x:v>
      </x:c>
      <x:c r="H17" s="24"/>
      <x:c r="I17" s="25" t="n">
        <x:v>0.0027844380849253447</x:v>
      </x:c>
      <x:c r="J17" s="24" t="n">
        <x:f>ROUND(E17-F17,1)</x:f>
        <x:v>29.4</x:v>
      </x:c>
      <x:c r="K17" s="23" t="str">
        <x:v>IH2503</x:v>
      </x:c>
    </x:row>
    <x:row r="18">
      <x:c r="A18" s="23" t="n">
        <x:v>14</x:v>
      </x:c>
      <x:c r="B18" s="23" t="str">
        <x:v>周二</x:v>
      </x:c>
      <x:c r="C18" s="23" t="str">
        <x:v>1月21日</x:v>
      </x:c>
      <x:c r="D18" s="24" t="n">
        <x:v>2600.6</x:v>
      </x:c>
      <x:c r="E18" s="24" t="n">
        <x:v>2604.4</x:v>
      </x:c>
      <x:c r="F18" s="24" t="n">
        <x:v>2581.8</x:v>
      </x:c>
      <x:c r="G18" s="24" t="n">
        <x:v>2589.2</x:v>
      </x:c>
      <x:c r="H18" s="24"/>
      <x:c r="I18" s="25" t="n">
        <x:v>-0.0014654839953722743</x:v>
      </x:c>
      <x:c r="J18" s="24" t="n">
        <x:f>ROUND(E18-F18,1)</x:f>
        <x:v>22.6</x:v>
      </x:c>
      <x:c r="K18" s="23" t="str">
        <x:v>IH2503</x:v>
      </x:c>
    </x:row>
    <x:row r="19">
      <x:c r="A19" s="23" t="n">
        <x:v>15</x:v>
      </x:c>
      <x:c r="B19" s="23" t="str">
        <x:v>周三</x:v>
      </x:c>
      <x:c r="C19" s="23" t="str">
        <x:v>1月22日</x:v>
      </x:c>
      <x:c r="D19" s="24" t="n">
        <x:v>2585</x:v>
      </x:c>
      <x:c r="E19" s="24" t="n">
        <x:v>2586</x:v>
      </x:c>
      <x:c r="F19" s="24" t="n">
        <x:v>2542.2</x:v>
      </x:c>
      <x:c r="G19" s="24" t="n">
        <x:v>2553.4</x:v>
      </x:c>
      <x:c r="H19" s="24"/>
      <x:c r="I19" s="25" t="n">
        <x:v>-0.013826664606828243</x:v>
      </x:c>
      <x:c r="J19" s="24" t="n">
        <x:f>ROUND(E19-F19,1)</x:f>
        <x:v>43.8</x:v>
      </x:c>
      <x:c r="K19" s="23" t="str">
        <x:v>IH2503</x:v>
      </x:c>
    </x:row>
    <x:row r="20">
      <x:c r="A20" s="23" t="n">
        <x:v>16</x:v>
      </x:c>
      <x:c r="B20" s="23" t="str">
        <x:v>周四</x:v>
      </x:c>
      <x:c r="C20" s="23" t="str">
        <x:v>1月23日</x:v>
      </x:c>
      <x:c r="D20" s="24" t="n">
        <x:v>2574.6</x:v>
      </x:c>
      <x:c r="E20" s="24" t="n">
        <x:v>2616.2</x:v>
      </x:c>
      <x:c r="F20" s="24" t="n">
        <x:v>2564.6</x:v>
      </x:c>
      <x:c r="G20" s="24" t="n">
        <x:v>2570</x:v>
      </x:c>
      <x:c r="H20" s="24"/>
      <x:c r="I20" s="25" t="n">
        <x:v>0.006501135740581088</x:v>
      </x:c>
      <x:c r="J20" s="24" t="n">
        <x:f>ROUND(E20-F20,1)</x:f>
        <x:v>51.6</x:v>
      </x:c>
      <x:c r="K20" s="23" t="str">
        <x:v>IH2503</x:v>
      </x:c>
    </x:row>
    <x:row r="21">
      <x:c r="A21" s="23" t="n">
        <x:v>17</x:v>
      </x:c>
      <x:c r="B21" s="23" t="str">
        <x:v>周五</x:v>
      </x:c>
      <x:c r="C21" s="23" t="str">
        <x:v>1月24日</x:v>
      </x:c>
      <x:c r="D21" s="24" t="n">
        <x:v>2568.4</x:v>
      </x:c>
      <x:c r="E21" s="24" t="n">
        <x:v>2607</x:v>
      </x:c>
      <x:c r="F21" s="24" t="n">
        <x:v>2566.6</x:v>
      </x:c>
      <x:c r="G21" s="24" t="n">
        <x:v>2591</x:v>
      </x:c>
      <x:c r="H21" s="24"/>
      <x:c r="I21" s="25" t="n">
        <x:v>0.008171206225680905</x:v>
      </x:c>
      <x:c r="J21" s="24" t="n">
        <x:f>ROUND(E21-F21,1)</x:f>
        <x:v>40.4</x:v>
      </x:c>
      <x:c r="K21" s="23" t="str">
        <x:v>IH2503</x:v>
      </x:c>
    </x:row>
    <x:row r="22">
      <x:c r="A22" s="23" t="n">
        <x:v>18</x:v>
      </x:c>
      <x:c r="B22" s="23" t="str">
        <x:v>周一</x:v>
      </x:c>
      <x:c r="C22" s="23" t="str">
        <x:v>1月27日</x:v>
      </x:c>
      <x:c r="D22" s="24" t="n">
        <x:v>2595.2</x:v>
      </x:c>
      <x:c r="E22" s="24" t="n">
        <x:v>2603.8</x:v>
      </x:c>
      <x:c r="F22" s="24" t="n">
        <x:v>2568</x:v>
      </x:c>
      <x:c r="G22" s="24" t="n">
        <x:v>2569.8</x:v>
      </x:c>
      <x:c r="H22" s="24"/>
      <x:c r="I22" s="25" t="n">
        <x:v>-0.008182169046699994</x:v>
      </x:c>
      <x:c r="J22" s="24" t="n">
        <x:f>ROUND(E22-F22,1)</x:f>
        <x:v>35.8</x:v>
      </x:c>
      <x:c r="K22" s="23" t="str">
        <x:v>IH2503</x:v>
      </x:c>
    </x:row>
    <x:row r="23">
      <x:c r="A23" s="38" t="str">
        <x:v>合计</x:v>
      </x:c>
      <x:c r="B23" s="37" t="n">
        <x:v>18</x:v>
      </x:c>
      <x:c r="C23" s="37"/>
      <x:c r="D23" s="37"/>
      <x:c r="E23" s="37"/>
      <x:c r="F23" s="37"/>
      <x:c r="G23" s="37"/>
      <x:c r="H23" s="37"/>
      <x:c r="I23" s="37"/>
      <x:c r="J23" s="39" t="n">
        <x:f>ROUND(SUM(J5:J22),1)</x:f>
        <x:v>754</x:v>
      </x:c>
      <x:c r="K23" s="37"/>
    </x:row>
    <x:row r="24">
      <x:c r="A24" s="38" t="str">
        <x:v>均值</x:v>
      </x:c>
      <x:c r="B24" s="37"/>
      <x:c r="C24" s="37"/>
      <x:c r="D24" s="37"/>
      <x:c r="E24" s="37"/>
      <x:c r="F24" s="37"/>
      <x:c r="G24" s="37"/>
      <x:c r="H24" s="37"/>
      <x:c r="I24" s="37"/>
      <x:c r="J24" s="41" t="n">
        <x:f>ROUND(IFERROR(AVERAGE(J5:J22),0),1)</x:f>
        <x:v>41.9</x:v>
      </x:c>
      <x:c r="K24" s="37"/>
    </x:row>
    <x:row r="26">
      <x:c r="A26" s="17" t="str">
        <x:v>2月</x:v>
      </x:c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</x:row>
    <x:row r="27">
      <x:c r="A27" s="20" t="str">
        <x:v>序号</x:v>
      </x:c>
      <x:c r="B27" s="20" t="str">
        <x:v>星期</x:v>
      </x:c>
      <x:c r="C27" s="20" t="str">
        <x:v>日期</x:v>
      </x:c>
      <x:c r="D27" s="20" t="str">
        <x:v>开盘</x:v>
      </x:c>
      <x:c r="E27" s="20" t="str">
        <x:v>高点</x:v>
      </x:c>
      <x:c r="F27" s="20" t="str">
        <x:v>低点</x:v>
      </x:c>
      <x:c r="G27" s="20" t="str">
        <x:v>收盘</x:v>
      </x:c>
      <x:c r="H27" s="20" t="str">
        <x:v>涨跌点数</x:v>
      </x:c>
      <x:c r="I27" s="20" t="str">
        <x:v>涨幅</x:v>
      </x:c>
      <x:c r="J27" s="20" t="str">
        <x:v>振幅</x:v>
      </x:c>
      <x:c r="K27" s="20" t="str">
        <x:v>标的</x:v>
      </x:c>
    </x:row>
    <x:row r="28">
      <x:c r="A28" s="23" t="n">
        <x:v>1</x:v>
      </x:c>
      <x:c r="B28" s="23" t="str">
        <x:v>周三</x:v>
      </x:c>
      <x:c r="C28" s="23" t="str">
        <x:v>2月5日</x:v>
      </x:c>
      <x:c r="D28" s="24" t="n">
        <x:v>2588</x:v>
      </x:c>
      <x:c r="E28" s="24" t="n">
        <x:v>2593</x:v>
      </x:c>
      <x:c r="F28" s="24" t="n">
        <x:v>2552.6</x:v>
      </x:c>
      <x:c r="G28" s="24" t="n">
        <x:v>2559</x:v>
      </x:c>
      <x:c r="H28" s="24"/>
      <x:c r="I28" s="25" t="n">
        <x:v>-0.004202661685734355</x:v>
      </x:c>
      <x:c r="J28" s="24" t="n">
        <x:f>ROUND(E28-F28,1)</x:f>
        <x:v>40.4</x:v>
      </x:c>
      <x:c r="K28" s="23" t="str">
        <x:v>IH2503</x:v>
      </x:c>
    </x:row>
    <x:row r="29">
      <x:c r="A29" s="23" t="n">
        <x:v>2</x:v>
      </x:c>
      <x:c r="B29" s="23" t="str">
        <x:v>周四</x:v>
      </x:c>
      <x:c r="C29" s="23" t="str">
        <x:v>2月6日</x:v>
      </x:c>
      <x:c r="D29" s="24" t="n">
        <x:v>2561.8</x:v>
      </x:c>
      <x:c r="E29" s="24" t="n">
        <x:v>2593</x:v>
      </x:c>
      <x:c r="F29" s="24" t="n">
        <x:v>2555.6</x:v>
      </x:c>
      <x:c r="G29" s="24" t="n">
        <x:v>2583.8</x:v>
      </x:c>
      <x:c r="H29" s="24"/>
      <x:c r="I29" s="25" t="n">
        <x:v>0.009691285658460336</x:v>
      </x:c>
      <x:c r="J29" s="24" t="n">
        <x:f>ROUND(E29-F29,1)</x:f>
        <x:v>37.4</x:v>
      </x:c>
      <x:c r="K29" s="23" t="str">
        <x:v>IH2503</x:v>
      </x:c>
    </x:row>
    <x:row r="30">
      <x:c r="A30" s="23" t="n">
        <x:v>3</x:v>
      </x:c>
      <x:c r="B30" s="23" t="str">
        <x:v>周五</x:v>
      </x:c>
      <x:c r="C30" s="23" t="str">
        <x:v>2月7日</x:v>
      </x:c>
      <x:c r="D30" s="24" t="n">
        <x:v>2582</x:v>
      </x:c>
      <x:c r="E30" s="24" t="n">
        <x:v>2635.4</x:v>
      </x:c>
      <x:c r="F30" s="24" t="n">
        <x:v>2573.6</x:v>
      </x:c>
      <x:c r="G30" s="24" t="n">
        <x:v>2617</x:v>
      </x:c>
      <x:c r="H30" s="24"/>
      <x:c r="I30" s="25" t="n">
        <x:v>0.012849291740846702</x:v>
      </x:c>
      <x:c r="J30" s="29" t="n">
        <x:f>ROUND(E30-F30,1)</x:f>
        <x:v>61.8</x:v>
      </x:c>
      <x:c r="K30" s="23" t="str">
        <x:v>IH2503</x:v>
      </x:c>
    </x:row>
    <x:row r="31">
      <x:c r="A31" s="23" t="n">
        <x:v>4</x:v>
      </x:c>
      <x:c r="B31" s="23" t="str">
        <x:v>周一</x:v>
      </x:c>
      <x:c r="C31" s="23" t="str">
        <x:v>2月10日</x:v>
      </x:c>
      <x:c r="D31" s="24" t="n">
        <x:v>2620</x:v>
      </x:c>
      <x:c r="E31" s="24" t="n">
        <x:v>2635.4</x:v>
      </x:c>
      <x:c r="F31" s="24" t="n">
        <x:v>2611</x:v>
      </x:c>
      <x:c r="G31" s="24" t="n">
        <x:v>2626</x:v>
      </x:c>
      <x:c r="H31" s="24"/>
      <x:c r="I31" s="25" t="n">
        <x:v>0.0034390523500191783</x:v>
      </x:c>
      <x:c r="J31" s="24" t="n">
        <x:f>ROUND(E31-F31,1)</x:f>
        <x:v>24.4</x:v>
      </x:c>
      <x:c r="K31" s="23" t="str">
        <x:v>IH2503</x:v>
      </x:c>
    </x:row>
    <x:row r="32">
      <x:c r="A32" s="23" t="n">
        <x:v>5</x:v>
      </x:c>
      <x:c r="B32" s="23" t="str">
        <x:v>周二</x:v>
      </x:c>
      <x:c r="C32" s="23" t="str">
        <x:v>2月11日</x:v>
      </x:c>
      <x:c r="D32" s="24" t="n">
        <x:v>2626.6</x:v>
      </x:c>
      <x:c r="E32" s="24" t="n">
        <x:v>2632.4</x:v>
      </x:c>
      <x:c r="F32" s="24" t="n">
        <x:v>2609</x:v>
      </x:c>
      <x:c r="G32" s="24" t="n">
        <x:v>2616.8</x:v>
      </x:c>
      <x:c r="H32" s="24"/>
      <x:c r="I32" s="25" t="n">
        <x:v>-0.0035034272658034382</x:v>
      </x:c>
      <x:c r="J32" s="24" t="n">
        <x:f>ROUND(E32-F32,1)</x:f>
        <x:v>23.4</x:v>
      </x:c>
      <x:c r="K32" s="23" t="str">
        <x:v>IH2503</x:v>
      </x:c>
    </x:row>
    <x:row r="33">
      <x:c r="A33" s="23" t="n">
        <x:v>6</x:v>
      </x:c>
      <x:c r="B33" s="23" t="str">
        <x:v>周三</x:v>
      </x:c>
      <x:c r="C33" s="23" t="str">
        <x:v>2月12日</x:v>
      </x:c>
      <x:c r="D33" s="24" t="n">
        <x:v>2620</x:v>
      </x:c>
      <x:c r="E33" s="24" t="n">
        <x:v>2652</x:v>
      </x:c>
      <x:c r="F33" s="24" t="n">
        <x:v>2610.6</x:v>
      </x:c>
      <x:c r="G33" s="24" t="n">
        <x:v>2644.8</x:v>
      </x:c>
      <x:c r="H33" s="24"/>
      <x:c r="I33" s="25" t="n">
        <x:v>0.010700091715071913</x:v>
      </x:c>
      <x:c r="J33" s="24" t="n">
        <x:f>ROUND(E33-F33,1)</x:f>
        <x:v>41.4</x:v>
      </x:c>
      <x:c r="K33" s="23" t="str">
        <x:v>IH2503</x:v>
      </x:c>
    </x:row>
    <x:row r="34">
      <x:c r="A34" s="23" t="n">
        <x:v>7</x:v>
      </x:c>
      <x:c r="B34" s="23" t="str">
        <x:v>周四</x:v>
      </x:c>
      <x:c r="C34" s="23" t="str">
        <x:v>2月13日</x:v>
      </x:c>
      <x:c r="D34" s="24" t="n">
        <x:v>2641</x:v>
      </x:c>
      <x:c r="E34" s="24" t="n">
        <x:v>2671.2</x:v>
      </x:c>
      <x:c r="F34" s="24" t="n">
        <x:v>2638</x:v>
      </x:c>
      <x:c r="G34" s="24" t="n">
        <x:v>2648.8</x:v>
      </x:c>
      <x:c r="H34" s="24"/>
      <x:c r="I34" s="25" t="n">
        <x:v>0.0015124016938898865</x:v>
      </x:c>
      <x:c r="J34" s="24" t="n">
        <x:f>ROUND(E34-F34,1)</x:f>
        <x:v>33.2</x:v>
      </x:c>
      <x:c r="K34" s="23" t="str">
        <x:v>IH2503</x:v>
      </x:c>
    </x:row>
    <x:row r="35">
      <x:c r="A35" s="23" t="n">
        <x:v>8</x:v>
      </x:c>
      <x:c r="B35" s="23" t="str">
        <x:v>周五</x:v>
      </x:c>
      <x:c r="C35" s="23" t="str">
        <x:v>2月14日</x:v>
      </x:c>
      <x:c r="D35" s="24" t="n">
        <x:v>2649.8</x:v>
      </x:c>
      <x:c r="E35" s="24" t="n">
        <x:v>2671</x:v>
      </x:c>
      <x:c r="F35" s="24" t="n">
        <x:v>2640.2</x:v>
      </x:c>
      <x:c r="G35" s="24" t="n">
        <x:v>2668.4</x:v>
      </x:c>
      <x:c r="H35" s="24"/>
      <x:c r="I35" s="25" t="n">
        <x:v>0.007399577167019</x:v>
      </x:c>
      <x:c r="J35" s="24" t="n">
        <x:f>ROUND(E35-F35,1)</x:f>
        <x:v>30.8</x:v>
      </x:c>
      <x:c r="K35" s="23" t="str">
        <x:v>IH2503</x:v>
      </x:c>
    </x:row>
    <x:row r="36">
      <x:c r="A36" s="23" t="n">
        <x:v>9</x:v>
      </x:c>
      <x:c r="B36" s="23" t="str">
        <x:v>周一</x:v>
      </x:c>
      <x:c r="C36" s="23" t="str">
        <x:v>2月17日</x:v>
      </x:c>
      <x:c r="D36" s="24" t="n">
        <x:v>2672</x:v>
      </x:c>
      <x:c r="E36" s="24" t="n">
        <x:v>2679.4</x:v>
      </x:c>
      <x:c r="F36" s="24" t="n">
        <x:v>2648</x:v>
      </x:c>
      <x:c r="G36" s="24" t="n">
        <x:v>2667.4</x:v>
      </x:c>
      <x:c r="H36" s="24"/>
      <x:c r="I36" s="25" t="n">
        <x:v>-0.00037475640833462</x:v>
      </x:c>
      <x:c r="J36" s="24" t="n">
        <x:f>ROUND(E36-F36,1)</x:f>
        <x:v>31.4</x:v>
      </x:c>
      <x:c r="K36" s="23" t="str">
        <x:v>IH2503</x:v>
      </x:c>
    </x:row>
    <x:row r="37">
      <x:c r="A37" s="23" t="n">
        <x:v>10</x:v>
      </x:c>
      <x:c r="B37" s="23" t="str">
        <x:v>周二</x:v>
      </x:c>
      <x:c r="C37" s="23" t="str">
        <x:v>2月18日</x:v>
      </x:c>
      <x:c r="D37" s="24" t="n">
        <x:v>2663.8</x:v>
      </x:c>
      <x:c r="E37" s="24" t="n">
        <x:v>2681.6</x:v>
      </x:c>
      <x:c r="F37" s="24" t="n">
        <x:v>2645</x:v>
      </x:c>
      <x:c r="G37" s="24" t="n">
        <x:v>2655</x:v>
      </x:c>
      <x:c r="H37" s="24"/>
      <x:c r="I37" s="25" t="n">
        <x:v>-0.004648721601559602</x:v>
      </x:c>
      <x:c r="J37" s="24" t="n">
        <x:f>ROUND(E37-F37,1)</x:f>
        <x:v>36.6</x:v>
      </x:c>
      <x:c r="K37" s="23" t="str">
        <x:v>IH2503</x:v>
      </x:c>
    </x:row>
    <x:row r="38">
      <x:c r="A38" s="23" t="n">
        <x:v>11</x:v>
      </x:c>
      <x:c r="B38" s="23" t="str">
        <x:v>周三</x:v>
      </x:c>
      <x:c r="C38" s="23" t="str">
        <x:v>2月19日</x:v>
      </x:c>
      <x:c r="D38" s="24" t="n">
        <x:v>2653.4</x:v>
      </x:c>
      <x:c r="E38" s="24" t="n">
        <x:v>2680.8</x:v>
      </x:c>
      <x:c r="F38" s="24" t="n">
        <x:v>2647.4</x:v>
      </x:c>
      <x:c r="G38" s="24" t="n">
        <x:v>2667</x:v>
      </x:c>
      <x:c r="H38" s="24"/>
      <x:c r="I38" s="25" t="n">
        <x:v>0.004519774011299438</x:v>
      </x:c>
      <x:c r="J38" s="24" t="n">
        <x:f>ROUND(E38-F38,1)</x:f>
        <x:v>33.4</x:v>
      </x:c>
      <x:c r="K38" s="23" t="str">
        <x:v>IH2503</x:v>
      </x:c>
    </x:row>
    <x:row r="39">
      <x:c r="A39" s="23" t="n">
        <x:v>12</x:v>
      </x:c>
      <x:c r="B39" s="23" t="str">
        <x:v>周四</x:v>
      </x:c>
      <x:c r="C39" s="23" t="str">
        <x:v>2月20日</x:v>
      </x:c>
      <x:c r="D39" s="24" t="n">
        <x:v>2661</x:v>
      </x:c>
      <x:c r="E39" s="24" t="n">
        <x:v>2663.4</x:v>
      </x:c>
      <x:c r="F39" s="24" t="n">
        <x:v>2642.8</x:v>
      </x:c>
      <x:c r="G39" s="24" t="n">
        <x:v>2653</x:v>
      </x:c>
      <x:c r="H39" s="24"/>
      <x:c r="I39" s="25" t="n">
        <x:v>-0.005249343832021025</x:v>
      </x:c>
      <x:c r="J39" s="24" t="n">
        <x:f>ROUND(E39-F39,1)</x:f>
        <x:v>20.6</x:v>
      </x:c>
      <x:c r="K39" s="23" t="str">
        <x:v>IH2503</x:v>
      </x:c>
    </x:row>
    <x:row r="40">
      <x:c r="A40" s="33" t="n">
        <x:v>13</x:v>
      </x:c>
      <x:c r="B40" s="33" t="str">
        <x:v>周五</x:v>
      </x:c>
      <x:c r="C40" s="33" t="str">
        <x:v>2月21日</x:v>
      </x:c>
      <x:c r="D40" s="34" t="n">
        <x:v>2663</x:v>
      </x:c>
      <x:c r="E40" s="34" t="n">
        <x:v>2695.2</x:v>
      </x:c>
      <x:c r="F40" s="34" t="n">
        <x:v>2652</x:v>
      </x:c>
      <x:c r="G40" s="34" t="n">
        <x:v>2689.8</x:v>
      </x:c>
      <x:c r="H40" s="34"/>
      <x:c r="I40" s="35" t="n">
        <x:v>0.013871089332830877</x:v>
      </x:c>
      <x:c r="J40" s="34" t="n">
        <x:f>ROUND(E40-F40,1)</x:f>
        <x:v>43.2</x:v>
      </x:c>
      <x:c r="K40" s="33" t="str">
        <x:v>IH2503</x:v>
      </x:c>
    </x:row>
    <x:row r="41">
      <x:c r="A41" s="23" t="n">
        <x:v>14</x:v>
      </x:c>
      <x:c r="B41" s="23" t="str">
        <x:v>周一</x:v>
      </x:c>
      <x:c r="C41" s="23" t="str">
        <x:v>2月24日</x:v>
      </x:c>
      <x:c r="D41" s="24" t="n">
        <x:v>2684</x:v>
      </x:c>
      <x:c r="E41" s="24" t="n">
        <x:v>2695</x:v>
      </x:c>
      <x:c r="F41" s="24" t="n">
        <x:v>2661.4</x:v>
      </x:c>
      <x:c r="G41" s="24" t="n">
        <x:v>2675</x:v>
      </x:c>
      <x:c r="H41" s="24"/>
      <x:c r="I41" s="25" t="n">
        <x:v>-0.005502267826604235</x:v>
      </x:c>
      <x:c r="J41" s="24" t="n">
        <x:f>ROUND(E41-F41,1)</x:f>
        <x:v>33.6</x:v>
      </x:c>
      <x:c r="K41" s="23" t="str">
        <x:v>IH2503</x:v>
      </x:c>
    </x:row>
    <x:row r="42">
      <x:c r="A42" s="23" t="n">
        <x:v>15</x:v>
      </x:c>
      <x:c r="B42" s="23" t="str">
        <x:v>周二</x:v>
      </x:c>
      <x:c r="C42" s="23" t="str">
        <x:v>2月25日</x:v>
      </x:c>
      <x:c r="D42" s="24" t="n">
        <x:v>2656.8</x:v>
      </x:c>
      <x:c r="E42" s="24" t="n">
        <x:v>2666.8</x:v>
      </x:c>
      <x:c r="F42" s="24" t="n">
        <x:v>2636.2</x:v>
      </x:c>
      <x:c r="G42" s="24" t="n">
        <x:v>2646.6</x:v>
      </x:c>
      <x:c r="H42" s="24"/>
      <x:c r="I42" s="25" t="n">
        <x:v>-0.01061682242990658</x:v>
      </x:c>
      <x:c r="J42" s="24" t="n">
        <x:f>ROUND(E42-F42,1)</x:f>
        <x:v>30.6</x:v>
      </x:c>
      <x:c r="K42" s="23" t="str">
        <x:v>IH2503</x:v>
      </x:c>
    </x:row>
    <x:row r="43">
      <x:c r="A43" s="23" t="n">
        <x:v>16</x:v>
      </x:c>
      <x:c r="B43" s="23" t="str">
        <x:v>周三</x:v>
      </x:c>
      <x:c r="C43" s="23" t="str">
        <x:v>2月26日</x:v>
      </x:c>
      <x:c r="D43" s="24" t="n">
        <x:v>2653</x:v>
      </x:c>
      <x:c r="E43" s="24" t="n">
        <x:v>2671.8</x:v>
      </x:c>
      <x:c r="F43" s="24" t="n">
        <x:v>2646</x:v>
      </x:c>
      <x:c r="G43" s="24" t="n">
        <x:v>2668.4</x:v>
      </x:c>
      <x:c r="H43" s="24"/>
      <x:c r="I43" s="25" t="n">
        <x:v>0.008236983299327427</x:v>
      </x:c>
      <x:c r="J43" s="24" t="n">
        <x:f>ROUND(E43-F43,1)</x:f>
        <x:v>25.8</x:v>
      </x:c>
      <x:c r="K43" s="23" t="str">
        <x:v>IH2503</x:v>
      </x:c>
    </x:row>
    <x:row r="44">
      <x:c r="A44" s="23" t="n">
        <x:v>17</x:v>
      </x:c>
      <x:c r="B44" s="23" t="str">
        <x:v>周四</x:v>
      </x:c>
      <x:c r="C44" s="23" t="str">
        <x:v>2月27日</x:v>
      </x:c>
      <x:c r="D44" s="24" t="n">
        <x:v>2668.4</x:v>
      </x:c>
      <x:c r="E44" s="24" t="n">
        <x:v>2686.6</x:v>
      </x:c>
      <x:c r="F44" s="24" t="n">
        <x:v>2656</x:v>
      </x:c>
      <x:c r="G44" s="24" t="n">
        <x:v>2685</x:v>
      </x:c>
      <x:c r="H44" s="24"/>
      <x:c r="I44" s="25" t="n">
        <x:v>0.006220956378353959</x:v>
      </x:c>
      <x:c r="J44" s="24" t="n">
        <x:f>ROUND(E44-F44,1)</x:f>
        <x:v>30.6</x:v>
      </x:c>
      <x:c r="K44" s="23" t="str">
        <x:v>IH2503</x:v>
      </x:c>
    </x:row>
    <x:row r="45">
      <x:c r="A45" s="23" t="n">
        <x:v>18</x:v>
      </x:c>
      <x:c r="B45" s="23" t="str">
        <x:v>周五</x:v>
      </x:c>
      <x:c r="C45" s="23" t="str">
        <x:v>2月28日</x:v>
      </x:c>
      <x:c r="D45" s="24" t="n">
        <x:v>2678.2</x:v>
      </x:c>
      <x:c r="E45" s="24" t="n">
        <x:v>2693.8</x:v>
      </x:c>
      <x:c r="F45" s="24" t="n">
        <x:v>2640.6</x:v>
      </x:c>
      <x:c r="G45" s="24" t="n">
        <x:v>2646.2</x:v>
      </x:c>
      <x:c r="H45" s="24"/>
      <x:c r="I45" s="25" t="n">
        <x:v>-0.014450651769087552</x:v>
      </x:c>
      <x:c r="J45" s="24" t="n">
        <x:f>ROUND(E45-F45,1)</x:f>
        <x:v>53.2</x:v>
      </x:c>
      <x:c r="K45" s="23" t="str">
        <x:v>IH2503</x:v>
      </x:c>
    </x:row>
    <x:row r="46">
      <x:c r="A46" s="38" t="str">
        <x:v>合计</x:v>
      </x:c>
      <x:c r="B46" s="37" t="n">
        <x:v>18</x:v>
      </x:c>
      <x:c r="C46" s="37"/>
      <x:c r="D46" s="37"/>
      <x:c r="E46" s="37"/>
      <x:c r="F46" s="37"/>
      <x:c r="G46" s="37"/>
      <x:c r="H46" s="37"/>
      <x:c r="I46" s="37"/>
      <x:c r="J46" s="39" t="n">
        <x:f>ROUND(SUM(J28:J45),1)</x:f>
        <x:v>631.8</x:v>
      </x:c>
      <x:c r="K46" s="37"/>
    </x:row>
    <x:row r="47">
      <x:c r="A47" s="38" t="str">
        <x:v>均值</x:v>
      </x:c>
      <x:c r="B47" s="37"/>
      <x:c r="C47" s="37"/>
      <x:c r="D47" s="37"/>
      <x:c r="E47" s="37"/>
      <x:c r="F47" s="37"/>
      <x:c r="G47" s="37"/>
      <x:c r="H47" s="37"/>
      <x:c r="I47" s="37"/>
      <x:c r="J47" s="41" t="n">
        <x:f>ROUND(IFERROR(AVERAGE(J28:J45),0),1)</x:f>
        <x:v>35.1</x:v>
      </x:c>
      <x:c r="K47" s="37"/>
    </x:row>
    <x:row r="49">
      <x:c r="A49" s="17" t="str">
        <x:v>3月</x:v>
      </x:c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</x:row>
    <x:row r="50">
      <x:c r="A50" s="20" t="str">
        <x:v>序号</x:v>
      </x:c>
      <x:c r="B50" s="20" t="str">
        <x:v>星期</x:v>
      </x:c>
      <x:c r="C50" s="20" t="str">
        <x:v>日期</x:v>
      </x:c>
      <x:c r="D50" s="20" t="str">
        <x:v>开盘</x:v>
      </x:c>
      <x:c r="E50" s="20" t="str">
        <x:v>高点</x:v>
      </x:c>
      <x:c r="F50" s="20" t="str">
        <x:v>低点</x:v>
      </x:c>
      <x:c r="G50" s="20" t="str">
        <x:v>收盘</x:v>
      </x:c>
      <x:c r="H50" s="20" t="str">
        <x:v>涨跌点数</x:v>
      </x:c>
      <x:c r="I50" s="20" t="str">
        <x:v>涨幅</x:v>
      </x:c>
      <x:c r="J50" s="20" t="str">
        <x:v>振幅</x:v>
      </x:c>
      <x:c r="K50" s="20" t="str">
        <x:v>标的</x:v>
      </x:c>
    </x:row>
    <x:row r="51">
      <x:c r="A51" s="23" t="n">
        <x:v>1</x:v>
      </x:c>
      <x:c r="B51" s="23" t="str">
        <x:v>周一</x:v>
      </x:c>
      <x:c r="C51" s="23" t="str">
        <x:v>3月3日</x:v>
      </x:c>
      <x:c r="D51" s="24" t="n">
        <x:v>2650.6</x:v>
      </x:c>
      <x:c r="E51" s="24" t="n">
        <x:v>2660</x:v>
      </x:c>
      <x:c r="F51" s="24" t="n">
        <x:v>2618.8</x:v>
      </x:c>
      <x:c r="G51" s="24" t="n">
        <x:v>2628</x:v>
      </x:c>
      <x:c r="H51" s="24"/>
      <x:c r="I51" s="25" t="n">
        <x:v>-0.006877787015342696</x:v>
      </x:c>
      <x:c r="J51" s="24" t="n">
        <x:f>ROUND(E51-F51,1)</x:f>
        <x:v>41.2</x:v>
      </x:c>
      <x:c r="K51" s="23" t="str">
        <x:v>IH2503</x:v>
      </x:c>
    </x:row>
    <x:row r="52">
      <x:c r="A52" s="23" t="n">
        <x:v>2</x:v>
      </x:c>
      <x:c r="B52" s="23" t="str">
        <x:v>周二</x:v>
      </x:c>
      <x:c r="C52" s="23" t="str">
        <x:v>3月4日</x:v>
      </x:c>
      <x:c r="D52" s="24" t="n">
        <x:v>2617.2</x:v>
      </x:c>
      <x:c r="E52" s="24" t="n">
        <x:v>2628</x:v>
      </x:c>
      <x:c r="F52" s="24" t="n">
        <x:v>2609.6</x:v>
      </x:c>
      <x:c r="G52" s="24" t="n">
        <x:v>2620</x:v>
      </x:c>
      <x:c r="H52" s="24"/>
      <x:c r="I52" s="25" t="n">
        <x:v>-0.0030441400304414</x:v>
      </x:c>
      <x:c r="J52" s="24" t="n">
        <x:f>ROUND(E52-F52,1)</x:f>
        <x:v>18.4</x:v>
      </x:c>
      <x:c r="K52" s="23" t="str">
        <x:v>IH2503</x:v>
      </x:c>
    </x:row>
    <x:row r="53">
      <x:c r="A53" s="23" t="n">
        <x:v>3</x:v>
      </x:c>
      <x:c r="B53" s="23" t="str">
        <x:v>周三</x:v>
      </x:c>
      <x:c r="C53" s="23" t="str">
        <x:v>3月5日</x:v>
      </x:c>
      <x:c r="D53" s="24" t="n">
        <x:v>2624.6</x:v>
      </x:c>
      <x:c r="E53" s="24" t="n">
        <x:v>2643.2</x:v>
      </x:c>
      <x:c r="F53" s="24" t="n">
        <x:v>2617</x:v>
      </x:c>
      <x:c r="G53" s="24" t="n">
        <x:v>2637</x:v>
      </x:c>
      <x:c r="H53" s="24"/>
      <x:c r="I53" s="25" t="n">
        <x:v>0.0064885496183206826</x:v>
      </x:c>
      <x:c r="J53" s="24" t="n">
        <x:f>ROUND(E53-F53,1)</x:f>
        <x:v>26.2</x:v>
      </x:c>
      <x:c r="K53" s="23" t="str">
        <x:v>IH2503</x:v>
      </x:c>
    </x:row>
    <x:row r="54">
      <x:c r="A54" s="23" t="n">
        <x:v>4</x:v>
      </x:c>
      <x:c r="B54" s="23" t="str">
        <x:v>周四</x:v>
      </x:c>
      <x:c r="C54" s="23" t="str">
        <x:v>3月6日</x:v>
      </x:c>
      <x:c r="D54" s="24" t="n">
        <x:v>2651</x:v>
      </x:c>
      <x:c r="E54" s="24" t="n">
        <x:v>2695.4</x:v>
      </x:c>
      <x:c r="F54" s="24" t="n">
        <x:v>2650</x:v>
      </x:c>
      <x:c r="G54" s="24" t="n">
        <x:v>2685</x:v>
      </x:c>
      <x:c r="H54" s="24"/>
      <x:c r="I54" s="25" t="n">
        <x:v>0.018202502844141044</x:v>
      </x:c>
      <x:c r="J54" s="24" t="n">
        <x:f>ROUND(E54-F54,1)</x:f>
        <x:v>45.4</x:v>
      </x:c>
      <x:c r="K54" s="23" t="str">
        <x:v>IH2503</x:v>
      </x:c>
    </x:row>
    <x:row r="55">
      <x:c r="A55" s="23" t="n">
        <x:v>5</x:v>
      </x:c>
      <x:c r="B55" s="23" t="str">
        <x:v>周五</x:v>
      </x:c>
      <x:c r="C55" s="23" t="str">
        <x:v>3月7日</x:v>
      </x:c>
      <x:c r="D55" s="24" t="n">
        <x:v>2680.2</x:v>
      </x:c>
      <x:c r="E55" s="24" t="n">
        <x:v>2697</x:v>
      </x:c>
      <x:c r="F55" s="24" t="n">
        <x:v>2675</x:v>
      </x:c>
      <x:c r="G55" s="24" t="n">
        <x:v>2681.6</x:v>
      </x:c>
      <x:c r="H55" s="24"/>
      <x:c r="I55" s="25" t="n">
        <x:v>-0.0012662942271881583</x:v>
      </x:c>
      <x:c r="J55" s="24" t="n">
        <x:f>ROUND(E55-F55,1)</x:f>
        <x:v>22</x:v>
      </x:c>
      <x:c r="K55" s="23" t="str">
        <x:v>IH2503</x:v>
      </x:c>
    </x:row>
    <x:row r="56">
      <x:c r="A56" s="23" t="n">
        <x:v>6</x:v>
      </x:c>
      <x:c r="B56" s="23" t="str">
        <x:v>周一</x:v>
      </x:c>
      <x:c r="C56" s="23" t="str">
        <x:v>3月10日</x:v>
      </x:c>
      <x:c r="D56" s="24" t="n">
        <x:v>2681.4</x:v>
      </x:c>
      <x:c r="E56" s="24" t="n">
        <x:v>2683</x:v>
      </x:c>
      <x:c r="F56" s="24" t="n">
        <x:v>2647.6</x:v>
      </x:c>
      <x:c r="G56" s="24" t="n">
        <x:v>2664.6</x:v>
      </x:c>
      <x:c r="H56" s="24"/>
      <x:c r="I56" s="25" t="n">
        <x:v>-0.006339498806682609</x:v>
      </x:c>
      <x:c r="J56" s="24" t="n">
        <x:f>ROUND(E56-F56,1)</x:f>
        <x:v>35.4</x:v>
      </x:c>
      <x:c r="K56" s="23" t="str">
        <x:v>IH2503</x:v>
      </x:c>
    </x:row>
    <x:row r="57">
      <x:c r="A57" s="23" t="n">
        <x:v>7</x:v>
      </x:c>
      <x:c r="B57" s="23" t="str">
        <x:v>周二</x:v>
      </x:c>
      <x:c r="C57" s="23" t="str">
        <x:v>3月11日</x:v>
      </x:c>
      <x:c r="D57" s="24" t="n">
        <x:v>2643</x:v>
      </x:c>
      <x:c r="E57" s="24" t="n">
        <x:v>2676</x:v>
      </x:c>
      <x:c r="F57" s="24" t="n">
        <x:v>2642</x:v>
      </x:c>
      <x:c r="G57" s="24" t="n">
        <x:v>2675.4</x:v>
      </x:c>
      <x:c r="H57" s="24"/>
      <x:c r="I57" s="25" t="n">
        <x:v>0.004053141184418019</x:v>
      </x:c>
      <x:c r="J57" s="24" t="n">
        <x:f>ROUND(E57-F57,1)</x:f>
        <x:v>34</x:v>
      </x:c>
      <x:c r="K57" s="23" t="str">
        <x:v>IH2503</x:v>
      </x:c>
    </x:row>
    <x:row r="58">
      <x:c r="A58" s="23" t="n">
        <x:v>8</x:v>
      </x:c>
      <x:c r="B58" s="23" t="str">
        <x:v>周三</x:v>
      </x:c>
      <x:c r="C58" s="23" t="str">
        <x:v>3月12日</x:v>
      </x:c>
      <x:c r="D58" s="24" t="n">
        <x:v>2681</x:v>
      </x:c>
      <x:c r="E58" s="24" t="n">
        <x:v>2685.8</x:v>
      </x:c>
      <x:c r="F58" s="24" t="n">
        <x:v>2662.6</x:v>
      </x:c>
      <x:c r="G58" s="24" t="n">
        <x:v>2670</x:v>
      </x:c>
      <x:c r="H58" s="24"/>
      <x:c r="I58" s="25" t="n">
        <x:v>-0.002018389773491891</x:v>
      </x:c>
      <x:c r="J58" s="24" t="n">
        <x:f>ROUND(E58-F58,1)</x:f>
        <x:v>23.2</x:v>
      </x:c>
      <x:c r="K58" s="23" t="str">
        <x:v>IH2503</x:v>
      </x:c>
    </x:row>
    <x:row r="59">
      <x:c r="A59" s="23" t="n">
        <x:v>9</x:v>
      </x:c>
      <x:c r="B59" s="23" t="str">
        <x:v>周四</x:v>
      </x:c>
      <x:c r="C59" s="23" t="str">
        <x:v>3月13日</x:v>
      </x:c>
      <x:c r="D59" s="24" t="n">
        <x:v>2670</x:v>
      </x:c>
      <x:c r="E59" s="24" t="n">
        <x:v>2683.8</x:v>
      </x:c>
      <x:c r="F59" s="24" t="n">
        <x:v>2651.2</x:v>
      </x:c>
      <x:c r="G59" s="24" t="n">
        <x:v>2663.8</x:v>
      </x:c>
      <x:c r="H59" s="24"/>
      <x:c r="I59" s="25" t="n">
        <x:v>-0.0023220973782770438</x:v>
      </x:c>
      <x:c r="J59" s="24" t="n">
        <x:f>ROUND(E59-F59,1)</x:f>
        <x:v>32.6</x:v>
      </x:c>
      <x:c r="K59" s="23" t="str">
        <x:v>IH2503</x:v>
      </x:c>
    </x:row>
    <x:row r="60">
      <x:c r="A60" s="23" t="n">
        <x:v>10</x:v>
      </x:c>
      <x:c r="B60" s="23" t="str">
        <x:v>周五</x:v>
      </x:c>
      <x:c r="C60" s="23" t="str">
        <x:v>3月14日</x:v>
      </x:c>
      <x:c r="D60" s="24" t="n">
        <x:v>2671.8</x:v>
      </x:c>
      <x:c r="E60" s="24" t="n">
        <x:v>2757.6</x:v>
      </x:c>
      <x:c r="F60" s="24" t="n">
        <x:v>2671</x:v>
      </x:c>
      <x:c r="G60" s="24" t="n">
        <x:v>2747</x:v>
      </x:c>
      <x:c r="H60" s="24"/>
      <x:c r="I60" s="25" t="n">
        <x:v>0.03123357609430122</x:v>
      </x:c>
      <x:c r="J60" s="29" t="n">
        <x:f>ROUND(E60-F60,1)</x:f>
        <x:v>86.6</x:v>
      </x:c>
      <x:c r="K60" s="23" t="str">
        <x:v>IH2503</x:v>
      </x:c>
    </x:row>
    <x:row r="61">
      <x:c r="A61" s="23" t="n">
        <x:v>11</x:v>
      </x:c>
      <x:c r="B61" s="23" t="str">
        <x:v>周一</x:v>
      </x:c>
      <x:c r="C61" s="23" t="str">
        <x:v>3月17日</x:v>
      </x:c>
      <x:c r="D61" s="24" t="n">
        <x:v>2755.6</x:v>
      </x:c>
      <x:c r="E61" s="24" t="n">
        <x:v>2760.4</x:v>
      </x:c>
      <x:c r="F61" s="24" t="n">
        <x:v>2734.4</x:v>
      </x:c>
      <x:c r="G61" s="24" t="n">
        <x:v>2737.2</x:v>
      </x:c>
      <x:c r="H61" s="24"/>
      <x:c r="I61" s="25" t="n">
        <x:v>-0.00356752821259565</x:v>
      </x:c>
      <x:c r="J61" s="24" t="n">
        <x:f>ROUND(E61-F61,1)</x:f>
        <x:v>26</x:v>
      </x:c>
      <x:c r="K61" s="23" t="str">
        <x:v>IH2503</x:v>
      </x:c>
    </x:row>
    <x:row r="62">
      <x:c r="A62" s="23" t="n">
        <x:v>12</x:v>
      </x:c>
      <x:c r="B62" s="23" t="str">
        <x:v>周二</x:v>
      </x:c>
      <x:c r="C62" s="23" t="str">
        <x:v>3月18日</x:v>
      </x:c>
      <x:c r="D62" s="24" t="n">
        <x:v>2748</x:v>
      </x:c>
      <x:c r="E62" s="24" t="n">
        <x:v>2753.8</x:v>
      </x:c>
      <x:c r="F62" s="24" t="n">
        <x:v>2738</x:v>
      </x:c>
      <x:c r="G62" s="24" t="n">
        <x:v>2740</x:v>
      </x:c>
      <x:c r="H62" s="24"/>
      <x:c r="I62" s="25" t="n">
        <x:v>0.001022943153587752</x:v>
      </x:c>
      <x:c r="J62" s="24" t="n">
        <x:f>ROUND(E62-F62,1)</x:f>
        <x:v>15.8</x:v>
      </x:c>
      <x:c r="K62" s="23" t="str">
        <x:v>IH2503</x:v>
      </x:c>
    </x:row>
    <x:row r="63">
      <x:c r="A63" s="23" t="n">
        <x:v>13</x:v>
      </x:c>
      <x:c r="B63" s="23" t="str">
        <x:v>周三</x:v>
      </x:c>
      <x:c r="C63" s="23" t="str">
        <x:v>3月19日</x:v>
      </x:c>
      <x:c r="D63" s="24" t="n">
        <x:v>2737.8</x:v>
      </x:c>
      <x:c r="E63" s="24" t="n">
        <x:v>2760.6</x:v>
      </x:c>
      <x:c r="F63" s="24" t="n">
        <x:v>2733</x:v>
      </x:c>
      <x:c r="G63" s="24" t="n">
        <x:v>2750</x:v>
      </x:c>
      <x:c r="H63" s="24"/>
      <x:c r="I63" s="25" t="n">
        <x:v>0.0035036496350364654</x:v>
      </x:c>
      <x:c r="J63" s="24" t="n">
        <x:f>ROUND(E63-F63,1)</x:f>
        <x:v>27.6</x:v>
      </x:c>
      <x:c r="K63" s="23" t="str">
        <x:v>IH2503</x:v>
      </x:c>
    </x:row>
    <x:row r="64">
      <x:c r="A64" s="23" t="n">
        <x:v>14</x:v>
      </x:c>
      <x:c r="B64" s="23" t="str">
        <x:v>周四</x:v>
      </x:c>
      <x:c r="C64" s="23" t="str">
        <x:v>3月20日</x:v>
      </x:c>
      <x:c r="D64" s="24" t="n">
        <x:v>2750</x:v>
      </x:c>
      <x:c r="E64" s="24" t="n">
        <x:v>2751.8</x:v>
      </x:c>
      <x:c r="F64" s="24" t="n">
        <x:v>2711.4</x:v>
      </x:c>
      <x:c r="G64" s="24" t="n">
        <x:v>2721.2</x:v>
      </x:c>
      <x:c r="H64" s="24"/>
      <x:c r="I64" s="25" t="n">
        <x:v>-0.011128891475123637</x:v>
      </x:c>
      <x:c r="J64" s="24" t="n">
        <x:f>ROUND(E64-F64,1)</x:f>
        <x:v>40.4</x:v>
      </x:c>
      <x:c r="K64" s="23" t="str">
        <x:v>IH2503</x:v>
      </x:c>
    </x:row>
    <x:row r="65">
      <x:c r="A65" s="33" t="n">
        <x:v>15</x:v>
      </x:c>
      <x:c r="B65" s="33" t="str">
        <x:v>周五</x:v>
      </x:c>
      <x:c r="C65" s="33" t="str">
        <x:v>3月21日</x:v>
      </x:c>
      <x:c r="D65" s="34" t="n">
        <x:v>2714</x:v>
      </x:c>
      <x:c r="E65" s="34" t="n">
        <x:v>2722.4</x:v>
      </x:c>
      <x:c r="F65" s="34" t="n">
        <x:v>2675.6</x:v>
      </x:c>
      <x:c r="G65" s="34" t="n">
        <x:v>2677.8</x:v>
      </x:c>
      <x:c r="H65" s="34"/>
      <x:c r="I65" s="35" t="n">
        <x:v>-0.017359323280617844</x:v>
      </x:c>
      <x:c r="J65" s="34" t="n">
        <x:f>ROUND(E65-F65,1)</x:f>
        <x:v>46.8</x:v>
      </x:c>
      <x:c r="K65" s="33" t="str">
        <x:v>IH2503</x:v>
      </x:c>
    </x:row>
    <x:row r="66">
      <x:c r="A66" s="23" t="n">
        <x:v>16</x:v>
      </x:c>
      <x:c r="B66" s="23" t="str">
        <x:v>周一</x:v>
      </x:c>
      <x:c r="C66" s="23" t="str">
        <x:v>3月24日</x:v>
      </x:c>
      <x:c r="D66" s="24" t="n">
        <x:v>2673.2</x:v>
      </x:c>
      <x:c r="E66" s="24" t="n">
        <x:v>2692.6</x:v>
      </x:c>
      <x:c r="F66" s="24" t="n">
        <x:v>2672</x:v>
      </x:c>
      <x:c r="G66" s="24" t="n">
        <x:v>2689</x:v>
      </x:c>
      <x:c r="H66" s="24"/>
      <x:c r="I66" s="25" t="n">
        <x:v>0.006437607605359608</x:v>
      </x:c>
      <x:c r="J66" s="24" t="n">
        <x:f>ROUND(E66-F66,1)</x:f>
        <x:v>20.6</x:v>
      </x:c>
      <x:c r="K66" s="23" t="str">
        <x:v>IH2506</x:v>
      </x:c>
    </x:row>
    <x:row r="67">
      <x:c r="A67" s="23" t="n">
        <x:v>17</x:v>
      </x:c>
      <x:c r="B67" s="23" t="str">
        <x:v>周二</x:v>
      </x:c>
      <x:c r="C67" s="23" t="str">
        <x:v>3月25日</x:v>
      </x:c>
      <x:c r="D67" s="24" t="n">
        <x:v>2687.8</x:v>
      </x:c>
      <x:c r="E67" s="24" t="n">
        <x:v>2694.2</x:v>
      </x:c>
      <x:c r="F67" s="24" t="n">
        <x:v>2681.2</x:v>
      </x:c>
      <x:c r="G67" s="24" t="n">
        <x:v>2690</x:v>
      </x:c>
      <x:c r="H67" s="24"/>
      <x:c r="I67" s="25" t="n">
        <x:v>0.00037188545927846484</x:v>
      </x:c>
      <x:c r="J67" s="24" t="n">
        <x:f>ROUND(E67-F67,1)</x:f>
        <x:v>13</x:v>
      </x:c>
      <x:c r="K67" s="23" t="str">
        <x:v>IH2506</x:v>
      </x:c>
    </x:row>
    <x:row r="68">
      <x:c r="A68" s="23" t="n">
        <x:v>18</x:v>
      </x:c>
      <x:c r="B68" s="23" t="str">
        <x:v>周三</x:v>
      </x:c>
      <x:c r="C68" s="23" t="str">
        <x:v>3月26日</x:v>
      </x:c>
      <x:c r="D68" s="24" t="n">
        <x:v>2691</x:v>
      </x:c>
      <x:c r="E68" s="24" t="n">
        <x:v>2697</x:v>
      </x:c>
      <x:c r="F68" s="24" t="n">
        <x:v>2672.8</x:v>
      </x:c>
      <x:c r="G68" s="24" t="n">
        <x:v>2676</x:v>
      </x:c>
      <x:c r="H68" s="24"/>
      <x:c r="I68" s="25" t="n">
        <x:v>-0.005204460966542701</x:v>
      </x:c>
      <x:c r="J68" s="24" t="n">
        <x:f>ROUND(E68-F68,1)</x:f>
        <x:v>24.2</x:v>
      </x:c>
      <x:c r="K68" s="23" t="str">
        <x:v>IH2506</x:v>
      </x:c>
    </x:row>
    <x:row r="69">
      <x:c r="A69" s="23" t="n">
        <x:v>19</x:v>
      </x:c>
      <x:c r="B69" s="23" t="str">
        <x:v>周四</x:v>
      </x:c>
      <x:c r="C69" s="23" t="str">
        <x:v>3月27日</x:v>
      </x:c>
      <x:c r="D69" s="24" t="n">
        <x:v>2673</x:v>
      </x:c>
      <x:c r="E69" s="24" t="n">
        <x:v>2707.6</x:v>
      </x:c>
      <x:c r="F69" s="24" t="n">
        <x:v>2673</x:v>
      </x:c>
      <x:c r="G69" s="24" t="n">
        <x:v>2690.6</x:v>
      </x:c>
      <x:c r="H69" s="24"/>
      <x:c r="I69" s="25" t="n">
        <x:v>0.005455904334828121</x:v>
      </x:c>
      <x:c r="J69" s="24" t="n">
        <x:f>ROUND(E69-F69,1)</x:f>
        <x:v>34.6</x:v>
      </x:c>
      <x:c r="K69" s="23" t="str">
        <x:v>IH2506</x:v>
      </x:c>
    </x:row>
    <x:row r="70">
      <x:c r="A70" s="23" t="n">
        <x:v>20</x:v>
      </x:c>
      <x:c r="B70" s="23" t="str">
        <x:v>周五</x:v>
      </x:c>
      <x:c r="C70" s="23" t="str">
        <x:v>3月28日</x:v>
      </x:c>
      <x:c r="D70" s="24" t="n">
        <x:v>2693</x:v>
      </x:c>
      <x:c r="E70" s="24" t="n">
        <x:v>2695.2</x:v>
      </x:c>
      <x:c r="F70" s="24" t="n">
        <x:v>2668</x:v>
      </x:c>
      <x:c r="G70" s="24" t="n">
        <x:v>2677.6</x:v>
      </x:c>
      <x:c r="H70" s="24"/>
      <x:c r="I70" s="25" t="n">
        <x:v>-0.0048316360663048785</x:v>
      </x:c>
      <x:c r="J70" s="24" t="n">
        <x:f>ROUND(E70-F70,1)</x:f>
        <x:v>27.2</x:v>
      </x:c>
      <x:c r="K70" s="23" t="str">
        <x:v>IH2506</x:v>
      </x:c>
    </x:row>
    <x:row r="71">
      <x:c r="A71" s="23" t="n">
        <x:v>21</x:v>
      </x:c>
      <x:c r="B71" s="23" t="str">
        <x:v>周一</x:v>
      </x:c>
      <x:c r="C71" s="23" t="str">
        <x:v>3月31日</x:v>
      </x:c>
      <x:c r="D71" s="24" t="n">
        <x:v>2675.4</x:v>
      </x:c>
      <x:c r="E71" s="24" t="n">
        <x:v>2693.4</x:v>
      </x:c>
      <x:c r="F71" s="24" t="n">
        <x:v>2652.8</x:v>
      </x:c>
      <x:c r="G71" s="24" t="n">
        <x:v>2666</x:v>
      </x:c>
      <x:c r="H71" s="24"/>
      <x:c r="I71" s="25" t="n">
        <x:v>-0.004332237824917762</x:v>
      </x:c>
      <x:c r="J71" s="24" t="n">
        <x:f>ROUND(E71-F71,1)</x:f>
        <x:v>40.6</x:v>
      </x:c>
      <x:c r="K71" s="23" t="str">
        <x:v>IH2506</x:v>
      </x:c>
    </x:row>
    <x:row r="72">
      <x:c r="A72" s="38" t="str">
        <x:v>合计</x:v>
      </x:c>
      <x:c r="B72" s="37" t="n">
        <x:v>21</x:v>
      </x:c>
      <x:c r="C72" s="37"/>
      <x:c r="D72" s="37"/>
      <x:c r="E72" s="37"/>
      <x:c r="F72" s="37"/>
      <x:c r="G72" s="37"/>
      <x:c r="H72" s="37"/>
      <x:c r="I72" s="37"/>
      <x:c r="J72" s="39" t="n">
        <x:f>ROUND(SUM(J51:J71),1)</x:f>
        <x:v>681.8</x:v>
      </x:c>
      <x:c r="K72" s="37"/>
    </x:row>
    <x:row r="73">
      <x:c r="A73" s="38" t="str">
        <x:v>均值</x:v>
      </x:c>
      <x:c r="B73" s="37"/>
      <x:c r="C73" s="37"/>
      <x:c r="D73" s="37"/>
      <x:c r="E73" s="37"/>
      <x:c r="F73" s="37"/>
      <x:c r="G73" s="37"/>
      <x:c r="H73" s="37"/>
      <x:c r="I73" s="37"/>
      <x:c r="J73" s="41" t="n">
        <x:f>ROUND(IFERROR(AVERAGE(J51:J71),0),1)</x:f>
        <x:v>32.5</x:v>
      </x:c>
      <x:c r="K73" s="37"/>
    </x:row>
    <x:row r="75">
      <x:c r="A75" s="17" t="str">
        <x:v>4月</x:v>
      </x:c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</x:row>
    <x:row r="76">
      <x:c r="A76" s="20" t="str">
        <x:v>序号</x:v>
      </x:c>
      <x:c r="B76" s="20" t="str">
        <x:v>星期</x:v>
      </x:c>
      <x:c r="C76" s="20" t="str">
        <x:v>日期</x:v>
      </x:c>
      <x:c r="D76" s="20" t="str">
        <x:v>开盘</x:v>
      </x:c>
      <x:c r="E76" s="20" t="str">
        <x:v>高点</x:v>
      </x:c>
      <x:c r="F76" s="20" t="str">
        <x:v>低点</x:v>
      </x:c>
      <x:c r="G76" s="20" t="str">
        <x:v>收盘</x:v>
      </x:c>
      <x:c r="H76" s="20" t="str">
        <x:v>涨跌点数</x:v>
      </x:c>
      <x:c r="I76" s="20" t="str">
        <x:v>涨幅</x:v>
      </x:c>
      <x:c r="J76" s="20" t="str">
        <x:v>振幅</x:v>
      </x:c>
      <x:c r="K76" s="20" t="str">
        <x:v>标的</x:v>
      </x:c>
    </x:row>
    <x:row r="77">
      <x:c r="A77" s="23" t="n">
        <x:v>1</x:v>
      </x:c>
      <x:c r="B77" s="23" t="str">
        <x:v>周二</x:v>
      </x:c>
      <x:c r="C77" s="23" t="str">
        <x:v>4月1日</x:v>
      </x:c>
      <x:c r="D77" s="24" t="n">
        <x:v>2670.2</x:v>
      </x:c>
      <x:c r="E77" s="24" t="n">
        <x:v>2675.6</x:v>
      </x:c>
      <x:c r="F77" s="24" t="n">
        <x:v>2658</x:v>
      </x:c>
      <x:c r="G77" s="24" t="n">
        <x:v>2661.8</x:v>
      </x:c>
      <x:c r="H77" s="24"/>
      <x:c r="I77" s="25" t="n">
        <x:v>-0.0015753938484620589</x:v>
      </x:c>
      <x:c r="J77" s="24" t="n">
        <x:f>ROUND(E77-F77,1)</x:f>
        <x:v>17.6</x:v>
      </x:c>
      <x:c r="K77" s="23" t="str">
        <x:v>IH2506</x:v>
      </x:c>
    </x:row>
    <x:row r="78">
      <x:c r="A78" s="23" t="n">
        <x:v>2</x:v>
      </x:c>
      <x:c r="B78" s="23" t="str">
        <x:v>周三</x:v>
      </x:c>
      <x:c r="C78" s="23" t="str">
        <x:v>4月2日</x:v>
      </x:c>
      <x:c r="D78" s="24" t="n">
        <x:v>2662</x:v>
      </x:c>
      <x:c r="E78" s="24" t="n">
        <x:v>2669.8</x:v>
      </x:c>
      <x:c r="F78" s="24" t="n">
        <x:v>2651.4</x:v>
      </x:c>
      <x:c r="G78" s="24" t="n">
        <x:v>2656.2</x:v>
      </x:c>
      <x:c r="H78" s="24"/>
      <x:c r="I78" s="25" t="n">
        <x:v>-0.00210383950710058</x:v>
      </x:c>
      <x:c r="J78" s="24" t="n">
        <x:f>ROUND(E78-F78,1)</x:f>
        <x:v>18.4</x:v>
      </x:c>
      <x:c r="K78" s="23" t="str">
        <x:v>IH2506</x:v>
      </x:c>
    </x:row>
    <x:row r="79">
      <x:c r="A79" s="23" t="n">
        <x:v>3</x:v>
      </x:c>
      <x:c r="B79" s="23" t="str">
        <x:v>周四</x:v>
      </x:c>
      <x:c r="C79" s="23" t="str">
        <x:v>4月3日</x:v>
      </x:c>
      <x:c r="D79" s="24" t="n">
        <x:v>2633.4</x:v>
      </x:c>
      <x:c r="E79" s="24" t="n">
        <x:v>2671.4</x:v>
      </x:c>
      <x:c r="F79" s="24" t="n">
        <x:v>2633</x:v>
      </x:c>
      <x:c r="G79" s="24" t="n">
        <x:v>2658</x:v>
      </x:c>
      <x:c r="H79" s="24"/>
      <x:c r="I79" s="25" t="n">
        <x:v>0.0006776598147730795</x:v>
      </x:c>
      <x:c r="J79" s="24" t="n">
        <x:f>ROUND(E79-F79,1)</x:f>
        <x:v>38.4</x:v>
      </x:c>
      <x:c r="K79" s="23" t="str">
        <x:v>IH2506</x:v>
      </x:c>
    </x:row>
    <x:row r="80">
      <x:c r="A80" s="23" t="n">
        <x:v>4</x:v>
      </x:c>
      <x:c r="B80" s="23" t="str">
        <x:v>周一</x:v>
      </x:c>
      <x:c r="C80" s="23" t="str">
        <x:v>4月7日</x:v>
      </x:c>
      <x:c r="D80" s="24" t="n">
        <x:v>2580</x:v>
      </x:c>
      <x:c r="E80" s="24" t="n">
        <x:v>2605.8</x:v>
      </x:c>
      <x:c r="F80" s="24" t="n">
        <x:v>2396.6</x:v>
      </x:c>
      <x:c r="G80" s="24" t="n">
        <x:v>2441.2</x:v>
      </x:c>
      <x:c r="H80" s="24"/>
      <x:c r="I80" s="25" t="n">
        <x:v>-0.08156508653122652</x:v>
      </x:c>
      <x:c r="J80" s="29" t="n">
        <x:f>ROUND(E80-F80,1)</x:f>
        <x:v>209.2</x:v>
      </x:c>
      <x:c r="K80" s="23" t="str">
        <x:v>IH2506</x:v>
      </x:c>
    </x:row>
    <x:row r="81">
      <x:c r="A81" s="23" t="n">
        <x:v>5</x:v>
      </x:c>
      <x:c r="B81" s="23" t="str">
        <x:v>周二</x:v>
      </x:c>
      <x:c r="C81" s="23" t="str">
        <x:v>4月8日</x:v>
      </x:c>
      <x:c r="D81" s="24" t="n">
        <x:v>2477.8</x:v>
      </x:c>
      <x:c r="E81" s="24" t="n">
        <x:v>2531.2</x:v>
      </x:c>
      <x:c r="F81" s="24" t="n">
        <x:v>2460.6</x:v>
      </x:c>
      <x:c r="G81" s="24" t="n">
        <x:v>2513.2</x:v>
      </x:c>
      <x:c r="H81" s="24"/>
      <x:c r="I81" s="25" t="n">
        <x:v>0.02949369162706872</x:v>
      </x:c>
      <x:c r="J81" s="29" t="n">
        <x:f>ROUND(E81-F81,1)</x:f>
        <x:v>70.6</x:v>
      </x:c>
      <x:c r="K81" s="23" t="str">
        <x:v>IH2506</x:v>
      </x:c>
    </x:row>
    <x:row r="82">
      <x:c r="A82" s="23" t="n">
        <x:v>6</x:v>
      </x:c>
      <x:c r="B82" s="23" t="str">
        <x:v>周三</x:v>
      </x:c>
      <x:c r="C82" s="23" t="str">
        <x:v>4月9日</x:v>
      </x:c>
      <x:c r="D82" s="24" t="n">
        <x:v>2500</x:v>
      </x:c>
      <x:c r="E82" s="24" t="n">
        <x:v>2575.6</x:v>
      </x:c>
      <x:c r="F82" s="24" t="n">
        <x:v>2495</x:v>
      </x:c>
      <x:c r="G82" s="24" t="n">
        <x:v>2564.2</x:v>
      </x:c>
      <x:c r="H82" s="24"/>
      <x:c r="I82" s="25" t="n">
        <x:v>0.020292853732293503</x:v>
      </x:c>
      <x:c r="J82" s="29" t="n">
        <x:f>ROUND(E82-F82,1)</x:f>
        <x:v>80.6</x:v>
      </x:c>
      <x:c r="K82" s="23" t="str">
        <x:v>IH2506</x:v>
      </x:c>
    </x:row>
    <x:row r="83">
      <x:c r="A83" s="23" t="n">
        <x:v>7</x:v>
      </x:c>
      <x:c r="B83" s="23" t="str">
        <x:v>周四</x:v>
      </x:c>
      <x:c r="C83" s="23" t="str">
        <x:v>4月10日</x:v>
      </x:c>
      <x:c r="D83" s="24" t="n">
        <x:v>2590</x:v>
      </x:c>
      <x:c r="E83" s="24" t="n">
        <x:v>2603.6</x:v>
      </x:c>
      <x:c r="F83" s="24" t="n">
        <x:v>2568</x:v>
      </x:c>
      <x:c r="G83" s="24" t="n">
        <x:v>2582.2</x:v>
      </x:c>
      <x:c r="H83" s="24"/>
      <x:c r="I83" s="25" t="n">
        <x:v>0.007019733250136495</x:v>
      </x:c>
      <x:c r="J83" s="24" t="n">
        <x:f>ROUND(E83-F83,1)</x:f>
        <x:v>35.6</x:v>
      </x:c>
      <x:c r="K83" s="23" t="str">
        <x:v>IH2506</x:v>
      </x:c>
    </x:row>
    <x:row r="84">
      <x:c r="A84" s="23" t="n">
        <x:v>8</x:v>
      </x:c>
      <x:c r="B84" s="23" t="str">
        <x:v>周五</x:v>
      </x:c>
      <x:c r="C84" s="23" t="str">
        <x:v>4月11日</x:v>
      </x:c>
      <x:c r="D84" s="24" t="n">
        <x:v>2592.6</x:v>
      </x:c>
      <x:c r="E84" s="24" t="n">
        <x:v>2602</x:v>
      </x:c>
      <x:c r="F84" s="24" t="n">
        <x:v>2573</x:v>
      </x:c>
      <x:c r="G84" s="24" t="n">
        <x:v>2595.6</x:v>
      </x:c>
      <x:c r="H84" s="24"/>
      <x:c r="I84" s="25" t="n">
        <x:v>0.0051893734025250104</x:v>
      </x:c>
      <x:c r="J84" s="24" t="n">
        <x:f>ROUND(E84-F84,1)</x:f>
        <x:v>29</x:v>
      </x:c>
      <x:c r="K84" s="23" t="str">
        <x:v>IH2506</x:v>
      </x:c>
    </x:row>
    <x:row r="85">
      <x:c r="A85" s="23" t="n">
        <x:v>9</x:v>
      </x:c>
      <x:c r="B85" s="23" t="str">
        <x:v>周一</x:v>
      </x:c>
      <x:c r="C85" s="23" t="str">
        <x:v>4月14日</x:v>
      </x:c>
      <x:c r="D85" s="24" t="n">
        <x:v>2600.8</x:v>
      </x:c>
      <x:c r="E85" s="24" t="n">
        <x:v>2620</x:v>
      </x:c>
      <x:c r="F85" s="24" t="n">
        <x:v>2595</x:v>
      </x:c>
      <x:c r="G85" s="24" t="n">
        <x:v>2606.6</x:v>
      </x:c>
      <x:c r="H85" s="24"/>
      <x:c r="I85" s="25" t="n">
        <x:v>0.004237941131145062</x:v>
      </x:c>
      <x:c r="J85" s="24" t="n">
        <x:f>ROUND(E85-F85,1)</x:f>
        <x:v>25</x:v>
      </x:c>
      <x:c r="K85" s="23" t="str">
        <x:v>IH2506</x:v>
      </x:c>
    </x:row>
    <x:row r="86">
      <x:c r="A86" s="23" t="n">
        <x:v>10</x:v>
      </x:c>
      <x:c r="B86" s="23" t="str">
        <x:v>周二</x:v>
      </x:c>
      <x:c r="C86" s="23" t="str">
        <x:v>4月15日</x:v>
      </x:c>
      <x:c r="D86" s="24" t="n">
        <x:v>2605</x:v>
      </x:c>
      <x:c r="E86" s="24" t="n">
        <x:v>2611.6</x:v>
      </x:c>
      <x:c r="F86" s="24" t="n">
        <x:v>2595</x:v>
      </x:c>
      <x:c r="G86" s="24" t="n">
        <x:v>2608.8</x:v>
      </x:c>
      <x:c r="H86" s="24"/>
      <x:c r="I86" s="25" t="n">
        <x:v>0.0008440113557892648</x:v>
      </x:c>
      <x:c r="J86" s="24" t="n">
        <x:f>ROUND(E86-F86,1)</x:f>
        <x:v>16.6</x:v>
      </x:c>
      <x:c r="K86" s="23" t="str">
        <x:v>IH2506</x:v>
      </x:c>
    </x:row>
    <x:row r="87">
      <x:c r="A87" s="23" t="n">
        <x:v>11</x:v>
      </x:c>
      <x:c r="B87" s="23" t="str">
        <x:v>周三</x:v>
      </x:c>
      <x:c r="C87" s="23" t="str">
        <x:v>4月16日</x:v>
      </x:c>
      <x:c r="D87" s="24" t="n">
        <x:v>2605</x:v>
      </x:c>
      <x:c r="E87" s="24" t="n">
        <x:v>2627.2</x:v>
      </x:c>
      <x:c r="F87" s="24" t="n">
        <x:v>2591.4</x:v>
      </x:c>
      <x:c r="G87" s="24" t="n">
        <x:v>2620</x:v>
      </x:c>
      <x:c r="H87" s="24"/>
      <x:c r="I87" s="25" t="n">
        <x:v>0.004293161606868878</x:v>
      </x:c>
      <x:c r="J87" s="24" t="n">
        <x:f>ROUND(E87-F87,1)</x:f>
        <x:v>35.8</x:v>
      </x:c>
      <x:c r="K87" s="23" t="str">
        <x:v>IH2506</x:v>
      </x:c>
    </x:row>
    <x:row r="88">
      <x:c r="A88" s="23" t="n">
        <x:v>12</x:v>
      </x:c>
      <x:c r="B88" s="23" t="str">
        <x:v>周四</x:v>
      </x:c>
      <x:c r="C88" s="23" t="str">
        <x:v>4月17日</x:v>
      </x:c>
      <x:c r="D88" s="24" t="n">
        <x:v>2614.8</x:v>
      </x:c>
      <x:c r="E88" s="24" t="n">
        <x:v>2642.6</x:v>
      </x:c>
      <x:c r="F88" s="24" t="n">
        <x:v>2612.4</x:v>
      </x:c>
      <x:c r="G88" s="24" t="n">
        <x:v>2633.6</x:v>
      </x:c>
      <x:c r="H88" s="24"/>
      <x:c r="I88" s="25" t="n">
        <x:v>0.005190839694656502</x:v>
      </x:c>
      <x:c r="J88" s="24" t="n">
        <x:f>ROUND(E88-F88,1)</x:f>
        <x:v>30.2</x:v>
      </x:c>
      <x:c r="K88" s="23" t="str">
        <x:v>IH2506</x:v>
      </x:c>
    </x:row>
    <x:row r="89">
      <x:c r="A89" s="33" t="n">
        <x:v>13</x:v>
      </x:c>
      <x:c r="B89" s="33" t="str">
        <x:v>周五</x:v>
      </x:c>
      <x:c r="C89" s="33" t="str">
        <x:v>4月18日</x:v>
      </x:c>
      <x:c r="D89" s="34" t="n">
        <x:v>2627</x:v>
      </x:c>
      <x:c r="E89" s="34" t="n">
        <x:v>2637.6</x:v>
      </x:c>
      <x:c r="F89" s="34" t="n">
        <x:v>2623</x:v>
      </x:c>
      <x:c r="G89" s="34" t="n">
        <x:v>2633.4</x:v>
      </x:c>
      <x:c r="H89" s="34"/>
      <x:c r="I89" s="35" t="n">
        <x:v>-0.00007594167679214614</x:v>
      </x:c>
      <x:c r="J89" s="34" t="n">
        <x:f>ROUND(E89-F89,1)</x:f>
        <x:v>14.6</x:v>
      </x:c>
      <x:c r="K89" s="33" t="str">
        <x:v>IH2506</x:v>
      </x:c>
    </x:row>
    <x:row r="90">
      <x:c r="A90" s="23" t="n">
        <x:v>14</x:v>
      </x:c>
      <x:c r="B90" s="23" t="str">
        <x:v>周一</x:v>
      </x:c>
      <x:c r="C90" s="23" t="str">
        <x:v>4月21日</x:v>
      </x:c>
      <x:c r="D90" s="24" t="n">
        <x:v>2628</x:v>
      </x:c>
      <x:c r="E90" s="24" t="n">
        <x:v>2653</x:v>
      </x:c>
      <x:c r="F90" s="24" t="n">
        <x:v>2627</x:v>
      </x:c>
      <x:c r="G90" s="24" t="n">
        <x:v>2631.4</x:v>
      </x:c>
      <x:c r="H90" s="24"/>
      <x:c r="I90" s="25" t="n">
        <x:v>-0.0007594744436849599</x:v>
      </x:c>
      <x:c r="J90" s="24" t="n">
        <x:f>ROUND(E90-F90,1)</x:f>
        <x:v>26</x:v>
      </x:c>
      <x:c r="K90" s="23" t="str">
        <x:v>IH2506</x:v>
      </x:c>
    </x:row>
    <x:row r="91">
      <x:c r="A91" s="23" t="n">
        <x:v>15</x:v>
      </x:c>
      <x:c r="B91" s="23" t="str">
        <x:v>周二</x:v>
      </x:c>
      <x:c r="C91" s="23" t="str">
        <x:v>4月22日</x:v>
      </x:c>
      <x:c r="D91" s="24" t="n">
        <x:v>2629.8</x:v>
      </x:c>
      <x:c r="E91" s="24" t="n">
        <x:v>2648.4</x:v>
      </x:c>
      <x:c r="F91" s="24" t="n">
        <x:v>2629.8</x:v>
      </x:c>
      <x:c r="G91" s="24" t="n">
        <x:v>2637.4</x:v>
      </x:c>
      <x:c r="H91" s="24"/>
      <x:c r="I91" s="25" t="n">
        <x:v>0.002280155050543353</x:v>
      </x:c>
      <x:c r="J91" s="24" t="n">
        <x:f>ROUND(E91-F91,1)</x:f>
        <x:v>18.6</x:v>
      </x:c>
      <x:c r="K91" s="23" t="str">
        <x:v>IH2506</x:v>
      </x:c>
    </x:row>
    <x:row r="92">
      <x:c r="A92" s="23" t="n">
        <x:v>16</x:v>
      </x:c>
      <x:c r="B92" s="23" t="str">
        <x:v>周三</x:v>
      </x:c>
      <x:c r="C92" s="23" t="str">
        <x:v>4月23日</x:v>
      </x:c>
      <x:c r="D92" s="24" t="n">
        <x:v>2644.8</x:v>
      </x:c>
      <x:c r="E92" s="24" t="n">
        <x:v>2649</x:v>
      </x:c>
      <x:c r="F92" s="24" t="n">
        <x:v>2622</x:v>
      </x:c>
      <x:c r="G92" s="24" t="n">
        <x:v>2627.4</x:v>
      </x:c>
      <x:c r="H92" s="24"/>
      <x:c r="I92" s="25" t="n">
        <x:v>-0.003791612952149803</x:v>
      </x:c>
      <x:c r="J92" s="24" t="n">
        <x:f>ROUND(E92-F92,1)</x:f>
        <x:v>27</x:v>
      </x:c>
      <x:c r="K92" s="23" t="str">
        <x:v>IH2506</x:v>
      </x:c>
    </x:row>
    <x:row r="93">
      <x:c r="A93" s="23" t="n">
        <x:v>17</x:v>
      </x:c>
      <x:c r="B93" s="23" t="str">
        <x:v>周四</x:v>
      </x:c>
      <x:c r="C93" s="23" t="str">
        <x:v>4月24日</x:v>
      </x:c>
      <x:c r="D93" s="24" t="n">
        <x:v>2630</x:v>
      </x:c>
      <x:c r="E93" s="24" t="n">
        <x:v>2647.6</x:v>
      </x:c>
      <x:c r="F93" s="24" t="n">
        <x:v>2625.8</x:v>
      </x:c>
      <x:c r="G93" s="24" t="n">
        <x:v>2635.8</x:v>
      </x:c>
      <x:c r="H93" s="24"/>
      <x:c r="I93" s="25" t="n">
        <x:v>0.003197076958209699</x:v>
      </x:c>
      <x:c r="J93" s="24" t="n">
        <x:f>ROUND(E93-F93,1)</x:f>
        <x:v>21.8</x:v>
      </x:c>
      <x:c r="K93" s="23" t="str">
        <x:v>IH2506</x:v>
      </x:c>
    </x:row>
    <x:row r="94">
      <x:c r="A94" s="23" t="n">
        <x:v>18</x:v>
      </x:c>
      <x:c r="B94" s="23" t="str">
        <x:v>周五</x:v>
      </x:c>
      <x:c r="C94" s="23" t="str">
        <x:v>4月25日</x:v>
      </x:c>
      <x:c r="D94" s="24" t="n">
        <x:v>2640</x:v>
      </x:c>
      <x:c r="E94" s="24" t="n">
        <x:v>2643.6</x:v>
      </x:c>
      <x:c r="F94" s="24" t="n">
        <x:v>2620</x:v>
      </x:c>
      <x:c r="G94" s="24" t="n">
        <x:v>2628</x:v>
      </x:c>
      <x:c r="H94" s="24"/>
      <x:c r="I94" s="25" t="n">
        <x:v>-0.0029592533576144886</x:v>
      </x:c>
      <x:c r="J94" s="24" t="n">
        <x:f>ROUND(E94-F94,1)</x:f>
        <x:v>23.6</x:v>
      </x:c>
      <x:c r="K94" s="23" t="str">
        <x:v>IH2506</x:v>
      </x:c>
    </x:row>
    <x:row r="95">
      <x:c r="A95" s="23" t="n">
        <x:v>19</x:v>
      </x:c>
      <x:c r="B95" s="23" t="str">
        <x:v>周一</x:v>
      </x:c>
      <x:c r="C95" s="23" t="str">
        <x:v>4月28日</x:v>
      </x:c>
      <x:c r="D95" s="24" t="n">
        <x:v>2625.8</x:v>
      </x:c>
      <x:c r="E95" s="24" t="n">
        <x:v>2635.4</x:v>
      </x:c>
      <x:c r="F95" s="24" t="n">
        <x:v>2611.4</x:v>
      </x:c>
      <x:c r="G95" s="24" t="n">
        <x:v>2628</x:v>
      </x:c>
      <x:c r="H95" s="24"/>
      <x:c r="I95" s="25" t="n">
        <x:v>0</x:v>
      </x:c>
      <x:c r="J95" s="24" t="n">
        <x:f>ROUND(E95-F95,1)</x:f>
        <x:v>24</x:v>
      </x:c>
      <x:c r="K95" s="23" t="str">
        <x:v>IH2506</x:v>
      </x:c>
    </x:row>
    <x:row r="96">
      <x:c r="A96" s="23" t="n">
        <x:v>20</x:v>
      </x:c>
      <x:c r="B96" s="23" t="str">
        <x:v>周二</x:v>
      </x:c>
      <x:c r="C96" s="23" t="str">
        <x:v>4月29日</x:v>
      </x:c>
      <x:c r="D96" s="24" t="n">
        <x:v>2625</x:v>
      </x:c>
      <x:c r="E96" s="24" t="n">
        <x:v>2632.6</x:v>
      </x:c>
      <x:c r="F96" s="24" t="n">
        <x:v>2617.8</x:v>
      </x:c>
      <x:c r="G96" s="24" t="n">
        <x:v>2621.2</x:v>
      </x:c>
      <x:c r="H96" s="24"/>
      <x:c r="I96" s="25" t="n">
        <x:v>-0.0025875190258752845</x:v>
      </x:c>
      <x:c r="J96" s="24" t="n">
        <x:f>ROUND(E96-F96,1)</x:f>
        <x:v>14.8</x:v>
      </x:c>
      <x:c r="K96" s="23" t="str">
        <x:v>IH2506</x:v>
      </x:c>
    </x:row>
    <x:row r="97">
      <x:c r="A97" s="23" t="n">
        <x:v>21</x:v>
      </x:c>
      <x:c r="B97" s="23" t="str">
        <x:v>周三</x:v>
      </x:c>
      <x:c r="C97" s="23" t="str">
        <x:v>4月30日</x:v>
      </x:c>
      <x:c r="D97" s="24" t="n">
        <x:v>2622.4</x:v>
      </x:c>
      <x:c r="E97" s="24" t="n">
        <x:v>2634.4</x:v>
      </x:c>
      <x:c r="F97" s="24" t="n">
        <x:v>2608.8</x:v>
      </x:c>
      <x:c r="G97" s="24" t="n">
        <x:v>2609.2</x:v>
      </x:c>
      <x:c r="H97" s="24"/>
      <x:c r="I97" s="25" t="n">
        <x:v>-0.004578055852281437</x:v>
      </x:c>
      <x:c r="J97" s="24" t="n">
        <x:f>ROUND(E97-F97,1)</x:f>
        <x:v>25.6</x:v>
      </x:c>
      <x:c r="K97" s="23" t="str">
        <x:v>IH2506</x:v>
      </x:c>
    </x:row>
    <x:row r="98">
      <x:c r="A98" s="38" t="str">
        <x:v>合计</x:v>
      </x:c>
      <x:c r="B98" s="37" t="n">
        <x:v>21</x:v>
      </x:c>
      <x:c r="C98" s="37"/>
      <x:c r="D98" s="37"/>
      <x:c r="E98" s="37"/>
      <x:c r="F98" s="37"/>
      <x:c r="G98" s="37"/>
      <x:c r="H98" s="37"/>
      <x:c r="I98" s="37"/>
      <x:c r="J98" s="39" t="n">
        <x:f>ROUND(SUM(J77:J97),1)</x:f>
        <x:v>803</x:v>
      </x:c>
      <x:c r="K98" s="37"/>
    </x:row>
    <x:row r="99">
      <x:c r="A99" s="38" t="str">
        <x:v>均值</x:v>
      </x:c>
      <x:c r="B99" s="37"/>
      <x:c r="C99" s="37"/>
      <x:c r="D99" s="37"/>
      <x:c r="E99" s="37"/>
      <x:c r="F99" s="37"/>
      <x:c r="G99" s="37"/>
      <x:c r="H99" s="37"/>
      <x:c r="I99" s="37"/>
      <x:c r="J99" s="41" t="n">
        <x:f>ROUND(IFERROR(AVERAGE(J77:J97),0),1)</x:f>
        <x:v>38.2</x:v>
      </x:c>
      <x:c r="K99" s="37"/>
    </x:row>
    <x:row r="101">
      <x:c r="A101" s="17" t="str">
        <x:v>5月</x:v>
      </x:c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</x:row>
    <x:row r="102">
      <x:c r="A102" s="20" t="str">
        <x:v>序号</x:v>
      </x:c>
      <x:c r="B102" s="20" t="str">
        <x:v>星期</x:v>
      </x:c>
      <x:c r="C102" s="20" t="str">
        <x:v>日期</x:v>
      </x:c>
      <x:c r="D102" s="20" t="str">
        <x:v>开盘</x:v>
      </x:c>
      <x:c r="E102" s="20" t="str">
        <x:v>高点</x:v>
      </x:c>
      <x:c r="F102" s="20" t="str">
        <x:v>低点</x:v>
      </x:c>
      <x:c r="G102" s="20" t="str">
        <x:v>收盘</x:v>
      </x:c>
      <x:c r="H102" s="20" t="str">
        <x:v>涨跌点数</x:v>
      </x:c>
      <x:c r="I102" s="20" t="str">
        <x:v>涨幅</x:v>
      </x:c>
      <x:c r="J102" s="20" t="str">
        <x:v>振幅</x:v>
      </x:c>
      <x:c r="K102" s="20" t="str">
        <x:v>标的</x:v>
      </x:c>
    </x:row>
    <x:row r="103">
      <x:c r="A103" s="23" t="n">
        <x:v>1</x:v>
      </x:c>
      <x:c r="B103" s="23" t="str">
        <x:v>周二</x:v>
      </x:c>
      <x:c r="C103" s="23" t="str">
        <x:v>5月6日</x:v>
      </x:c>
      <x:c r="D103" s="24" t="n">
        <x:v>2620</x:v>
      </x:c>
      <x:c r="E103" s="24" t="n">
        <x:v>2632.6</x:v>
      </x:c>
      <x:c r="F103" s="24" t="n">
        <x:v>2613.2</x:v>
      </x:c>
      <x:c r="G103" s="24" t="n">
        <x:v>2629.6</x:v>
      </x:c>
      <x:c r="H103" s="24"/>
      <x:c r="I103" s="25" t="n">
        <x:v>0.007818488425571202</x:v>
      </x:c>
      <x:c r="J103" s="24" t="n">
        <x:f>ROUND(E103-F103,1)</x:f>
        <x:v>19.4</x:v>
      </x:c>
      <x:c r="K103" s="23" t="str">
        <x:v>IH2506</x:v>
      </x:c>
    </x:row>
    <x:row r="104">
      <x:c r="A104" s="23" t="n">
        <x:v>2</x:v>
      </x:c>
      <x:c r="B104" s="23" t="str">
        <x:v>周三</x:v>
      </x:c>
      <x:c r="C104" s="23" t="str">
        <x:v>5月7日</x:v>
      </x:c>
      <x:c r="D104" s="24" t="n">
        <x:v>2657</x:v>
      </x:c>
      <x:c r="E104" s="24" t="n">
        <x:v>2669.8</x:v>
      </x:c>
      <x:c r="F104" s="24" t="n">
        <x:v>2635.2</x:v>
      </x:c>
      <x:c r="G104" s="24" t="n">
        <x:v>2646.4</x:v>
      </x:c>
      <x:c r="H104" s="24"/>
      <x:c r="I104" s="25" t="n">
        <x:v>0.006388804380894397</x:v>
      </x:c>
      <x:c r="J104" s="24" t="n">
        <x:f>ROUND(E104-F104,1)</x:f>
        <x:v>34.6</x:v>
      </x:c>
      <x:c r="K104" s="23" t="str">
        <x:v>IH2506</x:v>
      </x:c>
    </x:row>
    <x:row r="105">
      <x:c r="A105" s="23" t="n">
        <x:v>3</x:v>
      </x:c>
      <x:c r="B105" s="23" t="str">
        <x:v>周四</x:v>
      </x:c>
      <x:c r="C105" s="23" t="str">
        <x:v>5月8日</x:v>
      </x:c>
      <x:c r="D105" s="24" t="n">
        <x:v>2641</x:v>
      </x:c>
      <x:c r="E105" s="24" t="n">
        <x:v>2681</x:v>
      </x:c>
      <x:c r="F105" s="24" t="n">
        <x:v>2640.4</x:v>
      </x:c>
      <x:c r="G105" s="24" t="n">
        <x:v>2664.8</x:v>
      </x:c>
      <x:c r="H105" s="24"/>
      <x:c r="I105" s="25" t="n">
        <x:v>0.006952841596130632</x:v>
      </x:c>
      <x:c r="J105" s="24" t="n">
        <x:f>ROUND(E105-F105,1)</x:f>
        <x:v>40.6</x:v>
      </x:c>
      <x:c r="K105" s="23" t="str">
        <x:v>IH2506</x:v>
      </x:c>
    </x:row>
    <x:row r="106">
      <x:c r="A106" s="23" t="n">
        <x:v>4</x:v>
      </x:c>
      <x:c r="B106" s="23" t="str">
        <x:v>周五</x:v>
      </x:c>
      <x:c r="C106" s="23" t="str">
        <x:v>5月9日</x:v>
      </x:c>
      <x:c r="D106" s="24" t="n">
        <x:v>2659</x:v>
      </x:c>
      <x:c r="E106" s="24" t="n">
        <x:v>2669.8</x:v>
      </x:c>
      <x:c r="F106" s="24" t="n">
        <x:v>2658</x:v>
      </x:c>
      <x:c r="G106" s="24" t="n">
        <x:v>2666.2</x:v>
      </x:c>
      <x:c r="H106" s="24"/>
      <x:c r="I106" s="25" t="n">
        <x:v>0.0005253677574301729</x:v>
      </x:c>
      <x:c r="J106" s="24" t="n">
        <x:f>ROUND(E106-F106,1)</x:f>
        <x:v>11.8</x:v>
      </x:c>
      <x:c r="K106" s="23" t="str">
        <x:v>IH2506</x:v>
      </x:c>
    </x:row>
    <x:row r="107">
      <x:c r="A107" s="23" t="n">
        <x:v>5</x:v>
      </x:c>
      <x:c r="B107" s="23" t="str">
        <x:v>周一</x:v>
      </x:c>
      <x:c r="C107" s="23" t="str">
        <x:v>5月12日</x:v>
      </x:c>
      <x:c r="D107" s="24" t="n">
        <x:v>2680.2</x:v>
      </x:c>
      <x:c r="E107" s="24" t="n">
        <x:v>2697</x:v>
      </x:c>
      <x:c r="F107" s="24" t="n">
        <x:v>2665.6</x:v>
      </x:c>
      <x:c r="G107" s="24" t="n">
        <x:v>2686.6</x:v>
      </x:c>
      <x:c r="H107" s="24"/>
      <x:c r="I107" s="25" t="n">
        <x:v>0.007651338984322242</x:v>
      </x:c>
      <x:c r="J107" s="24" t="n">
        <x:f>ROUND(E107-F107,1)</x:f>
        <x:v>31.4</x:v>
      </x:c>
      <x:c r="K107" s="23" t="str">
        <x:v>IH2506</x:v>
      </x:c>
    </x:row>
    <x:row r="108">
      <x:c r="A108" s="23" t="n">
        <x:v>6</x:v>
      </x:c>
      <x:c r="B108" s="23" t="str">
        <x:v>周二</x:v>
      </x:c>
      <x:c r="C108" s="23" t="str">
        <x:v>5月13日</x:v>
      </x:c>
      <x:c r="D108" s="24" t="n">
        <x:v>2691</x:v>
      </x:c>
      <x:c r="E108" s="24" t="n">
        <x:v>2694.4</x:v>
      </x:c>
      <x:c r="F108" s="24" t="n">
        <x:v>2681.2</x:v>
      </x:c>
      <x:c r="G108" s="24" t="n">
        <x:v>2688.2</x:v>
      </x:c>
      <x:c r="H108" s="24"/>
      <x:c r="I108" s="25" t="n">
        <x:v>0.0005955482766322184</x:v>
      </x:c>
      <x:c r="J108" s="24" t="n">
        <x:f>ROUND(E108-F108,1)</x:f>
        <x:v>13.2</x:v>
      </x:c>
      <x:c r="K108" s="23" t="str">
        <x:v>IH2506</x:v>
      </x:c>
    </x:row>
    <x:row r="109">
      <x:c r="A109" s="23" t="n">
        <x:v>7</x:v>
      </x:c>
      <x:c r="B109" s="23" t="str">
        <x:v>周三</x:v>
      </x:c>
      <x:c r="C109" s="23" t="str">
        <x:v>5月14日</x:v>
      </x:c>
      <x:c r="D109" s="24" t="n">
        <x:v>2691</x:v>
      </x:c>
      <x:c r="E109" s="24" t="n">
        <x:v>2754</x:v>
      </x:c>
      <x:c r="F109" s="24" t="n">
        <x:v>2688.6</x:v>
      </x:c>
      <x:c r="G109" s="24" t="n">
        <x:v>2737.6</x:v>
      </x:c>
      <x:c r="H109" s="24"/>
      <x:c r="I109" s="25" t="n">
        <x:v>0.018376608883267753</x:v>
      </x:c>
      <x:c r="J109" s="29" t="n">
        <x:f>ROUND(E109-F109,1)</x:f>
        <x:v>65.4</x:v>
      </x:c>
      <x:c r="K109" s="23" t="str">
        <x:v>IH2506</x:v>
      </x:c>
    </x:row>
    <x:row r="110">
      <x:c r="A110" s="23" t="n">
        <x:v>8</x:v>
      </x:c>
      <x:c r="B110" s="23" t="str">
        <x:v>周四</x:v>
      </x:c>
      <x:c r="C110" s="23" t="str">
        <x:v>5月15日</x:v>
      </x:c>
      <x:c r="D110" s="24" t="n">
        <x:v>2731.2</x:v>
      </x:c>
      <x:c r="E110" s="24" t="n">
        <x:v>2743.8</x:v>
      </x:c>
      <x:c r="F110" s="24" t="n">
        <x:v>2716.8</x:v>
      </x:c>
      <x:c r="G110" s="24" t="n">
        <x:v>2723</x:v>
      </x:c>
      <x:c r="H110" s="24"/>
      <x:c r="I110" s="25" t="n">
        <x:v>-0.005333138515488001</x:v>
      </x:c>
      <x:c r="J110" s="24" t="n">
        <x:f>ROUND(E110-F110,1)</x:f>
        <x:v>27</x:v>
      </x:c>
      <x:c r="K110" s="23" t="str">
        <x:v>IH2506</x:v>
      </x:c>
    </x:row>
    <x:row r="111">
      <x:c r="A111" s="33" t="n">
        <x:v>9</x:v>
      </x:c>
      <x:c r="B111" s="33" t="str">
        <x:v>周五</x:v>
      </x:c>
      <x:c r="C111" s="33" t="str">
        <x:v>5月16日</x:v>
      </x:c>
      <x:c r="D111" s="34" t="n">
        <x:v>2720</x:v>
      </x:c>
      <x:c r="E111" s="34" t="n">
        <x:v>2727</x:v>
      </x:c>
      <x:c r="F111" s="34" t="n">
        <x:v>2687.4</x:v>
      </x:c>
      <x:c r="G111" s="34" t="n">
        <x:v>2695.2</x:v>
      </x:c>
      <x:c r="H111" s="34"/>
      <x:c r="I111" s="35" t="n">
        <x:v>-0.010209327947117264</x:v>
      </x:c>
      <x:c r="J111" s="34" t="n">
        <x:f>ROUND(E111-F111,1)</x:f>
        <x:v>39.6</x:v>
      </x:c>
      <x:c r="K111" s="33" t="str">
        <x:v>IH2506</x:v>
      </x:c>
    </x:row>
    <x:row r="112">
      <x:c r="A112" s="23" t="n">
        <x:v>10</x:v>
      </x:c>
      <x:c r="B112" s="23" t="str">
        <x:v>周一</x:v>
      </x:c>
      <x:c r="C112" s="23" t="str">
        <x:v>5月19日</x:v>
      </x:c>
      <x:c r="D112" s="24" t="n">
        <x:v>2691</x:v>
      </x:c>
      <x:c r="E112" s="24" t="n">
        <x:v>2698</x:v>
      </x:c>
      <x:c r="F112" s="24" t="n">
        <x:v>2679</x:v>
      </x:c>
      <x:c r="G112" s="24" t="n">
        <x:v>2688.8</x:v>
      </x:c>
      <x:c r="H112" s="24"/>
      <x:c r="I112" s="25" t="n">
        <x:v>-0.002374591867022713</x:v>
      </x:c>
      <x:c r="J112" s="24" t="n">
        <x:f>ROUND(E112-F112,1)</x:f>
        <x:v>19</x:v>
      </x:c>
      <x:c r="K112" s="23" t="str">
        <x:v>IH2506</x:v>
      </x:c>
    </x:row>
    <x:row r="113">
      <x:c r="A113" s="23" t="n">
        <x:v>11</x:v>
      </x:c>
      <x:c r="B113" s="23" t="str">
        <x:v>周二</x:v>
      </x:c>
      <x:c r="C113" s="23" t="str">
        <x:v>5月20日</x:v>
      </x:c>
      <x:c r="D113" s="24" t="n">
        <x:v>2695.8</x:v>
      </x:c>
      <x:c r="E113" s="24" t="n">
        <x:v>2712.8</x:v>
      </x:c>
      <x:c r="F113" s="24" t="n">
        <x:v>2691.4</x:v>
      </x:c>
      <x:c r="G113" s="24" t="n">
        <x:v>2699.4</x:v>
      </x:c>
      <x:c r="H113" s="24"/>
      <x:c r="I113" s="25" t="n">
        <x:v>0.003942279083606115</x:v>
      </x:c>
      <x:c r="J113" s="24" t="n">
        <x:f>ROUND(E113-F113,1)</x:f>
        <x:v>21.4</x:v>
      </x:c>
      <x:c r="K113" s="23" t="str">
        <x:v>IH2506</x:v>
      </x:c>
    </x:row>
    <x:row r="114">
      <x:c r="A114" s="23" t="n">
        <x:v>12</x:v>
      </x:c>
      <x:c r="B114" s="23" t="str">
        <x:v>周三</x:v>
      </x:c>
      <x:c r="C114" s="23" t="str">
        <x:v>5月21日</x:v>
      </x:c>
      <x:c r="D114" s="24" t="n">
        <x:v>2701.2</x:v>
      </x:c>
      <x:c r="E114" s="24" t="n">
        <x:v>2724.2</x:v>
      </x:c>
      <x:c r="F114" s="24" t="n">
        <x:v>2699.6</x:v>
      </x:c>
      <x:c r="G114" s="24" t="n">
        <x:v>2712.6</x:v>
      </x:c>
      <x:c r="H114" s="24"/>
      <x:c r="I114" s="25" t="n">
        <x:v>0.004889975550122161</x:v>
      </x:c>
      <x:c r="J114" s="24" t="n">
        <x:f>ROUND(E114-F114,1)</x:f>
        <x:v>24.6</x:v>
      </x:c>
      <x:c r="K114" s="23" t="str">
        <x:v>IH2506</x:v>
      </x:c>
    </x:row>
    <x:row r="115">
      <x:c r="A115" s="23" t="n">
        <x:v>13</x:v>
      </x:c>
      <x:c r="B115" s="23" t="str">
        <x:v>周四</x:v>
      </x:c>
      <x:c r="C115" s="23" t="str">
        <x:v>5月22日</x:v>
      </x:c>
      <x:c r="D115" s="24" t="n">
        <x:v>2709.8</x:v>
      </x:c>
      <x:c r="E115" s="24" t="n">
        <x:v>2722</x:v>
      </x:c>
      <x:c r="F115" s="24" t="n">
        <x:v>2699</x:v>
      </x:c>
      <x:c r="G115" s="24" t="n">
        <x:v>2715.4</x:v>
      </x:c>
      <x:c r="H115" s="24"/>
      <x:c r="I115" s="25" t="n">
        <x:v>0.0010322200103223267</x:v>
      </x:c>
      <x:c r="J115" s="24" t="n">
        <x:f>ROUND(E115-F115,1)</x:f>
        <x:v>23</x:v>
      </x:c>
      <x:c r="K115" s="23" t="str">
        <x:v>IH2506</x:v>
      </x:c>
    </x:row>
    <x:row r="116">
      <x:c r="A116" s="23" t="n">
        <x:v>14</x:v>
      </x:c>
      <x:c r="B116" s="23" t="str">
        <x:v>周五</x:v>
      </x:c>
      <x:c r="C116" s="23" t="str">
        <x:v>5月23日</x:v>
      </x:c>
      <x:c r="D116" s="24" t="n">
        <x:v>2714</x:v>
      </x:c>
      <x:c r="E116" s="24" t="n">
        <x:v>2727</x:v>
      </x:c>
      <x:c r="F116" s="24" t="n">
        <x:v>2690.4</x:v>
      </x:c>
      <x:c r="G116" s="24" t="n">
        <x:v>2693</x:v>
      </x:c>
      <x:c r="H116" s="24"/>
      <x:c r="I116" s="25" t="n">
        <x:v>-0.00824924504677027</x:v>
      </x:c>
      <x:c r="J116" s="24" t="n">
        <x:f>ROUND(E116-F116,1)</x:f>
        <x:v>36.6</x:v>
      </x:c>
      <x:c r="K116" s="23" t="str">
        <x:v>IH2506</x:v>
      </x:c>
    </x:row>
    <x:row r="117">
      <x:c r="A117" s="23" t="n">
        <x:v>15</x:v>
      </x:c>
      <x:c r="B117" s="23" t="str">
        <x:v>周一</x:v>
      </x:c>
      <x:c r="C117" s="23" t="str">
        <x:v>5月26日</x:v>
      </x:c>
      <x:c r="D117" s="24" t="n">
        <x:v>2690.4</x:v>
      </x:c>
      <x:c r="E117" s="24" t="n">
        <x:v>2705.4</x:v>
      </x:c>
      <x:c r="F117" s="24" t="n">
        <x:v>2675</x:v>
      </x:c>
      <x:c r="G117" s="24" t="n">
        <x:v>2684.4</x:v>
      </x:c>
      <x:c r="H117" s="24"/>
      <x:c r="I117" s="25" t="n">
        <x:v>-0.003193464537690316</x:v>
      </x:c>
      <x:c r="J117" s="24" t="n">
        <x:f>ROUND(E117-F117,1)</x:f>
        <x:v>30.4</x:v>
      </x:c>
      <x:c r="K117" s="23" t="str">
        <x:v>IH2506</x:v>
      </x:c>
    </x:row>
    <x:row r="118">
      <x:c r="A118" s="23" t="n">
        <x:v>16</x:v>
      </x:c>
      <x:c r="B118" s="23" t="str">
        <x:v>周二</x:v>
      </x:c>
      <x:c r="C118" s="23" t="str">
        <x:v>5月27日</x:v>
      </x:c>
      <x:c r="D118" s="24" t="n">
        <x:v>2684</x:v>
      </x:c>
      <x:c r="E118" s="24" t="n">
        <x:v>2691</x:v>
      </x:c>
      <x:c r="F118" s="24" t="n">
        <x:v>2666</x:v>
      </x:c>
      <x:c r="G118" s="24" t="n">
        <x:v>2668.6</x:v>
      </x:c>
      <x:c r="H118" s="24"/>
      <x:c r="I118" s="25" t="n">
        <x:v>-0.005885859037401353</x:v>
      </x:c>
      <x:c r="J118" s="24" t="n">
        <x:f>ROUND(E118-F118,1)</x:f>
        <x:v>25</x:v>
      </x:c>
      <x:c r="K118" s="23" t="str">
        <x:v>IH2506</x:v>
      </x:c>
    </x:row>
    <x:row r="119">
      <x:c r="A119" s="23" t="n">
        <x:v>17</x:v>
      </x:c>
      <x:c r="B119" s="23" t="str">
        <x:v>周三</x:v>
      </x:c>
      <x:c r="C119" s="23" t="str">
        <x:v>5月28日</x:v>
      </x:c>
      <x:c r="D119" s="24" t="n">
        <x:v>2673</x:v>
      </x:c>
      <x:c r="E119" s="24" t="n">
        <x:v>2674.6</x:v>
      </x:c>
      <x:c r="F119" s="24" t="n">
        <x:v>2662.4</x:v>
      </x:c>
      <x:c r="G119" s="24" t="n">
        <x:v>2665.4</x:v>
      </x:c>
      <x:c r="H119" s="24"/>
      <x:c r="I119" s="25" t="n">
        <x:v>-0.0011991306302929772</x:v>
      </x:c>
      <x:c r="J119" s="24" t="n">
        <x:f>ROUND(E119-F119,1)</x:f>
        <x:v>12.2</x:v>
      </x:c>
      <x:c r="K119" s="23" t="str">
        <x:v>IH2506</x:v>
      </x:c>
    </x:row>
    <x:row r="120">
      <x:c r="A120" s="23" t="n">
        <x:v>18</x:v>
      </x:c>
      <x:c r="B120" s="23" t="str">
        <x:v>周四</x:v>
      </x:c>
      <x:c r="C120" s="23" t="str">
        <x:v>5月29日</x:v>
      </x:c>
      <x:c r="D120" s="24" t="n">
        <x:v>2672.2</x:v>
      </x:c>
      <x:c r="E120" s="24" t="n">
        <x:v>2692.6</x:v>
      </x:c>
      <x:c r="F120" s="24" t="n">
        <x:v>2660.6</x:v>
      </x:c>
      <x:c r="G120" s="24" t="n">
        <x:v>2673.6</x:v>
      </x:c>
      <x:c r="H120" s="24"/>
      <x:c r="I120" s="25" t="n">
        <x:v>0.0030764613191265333</x:v>
      </x:c>
      <x:c r="J120" s="24" t="n">
        <x:f>ROUND(E120-F120,1)</x:f>
        <x:v>32</x:v>
      </x:c>
      <x:c r="K120" s="23" t="str">
        <x:v>IH2506</x:v>
      </x:c>
    </x:row>
    <x:row r="121">
      <x:c r="A121" s="23" t="n">
        <x:v>19</x:v>
      </x:c>
      <x:c r="B121" s="23" t="str">
        <x:v>周五</x:v>
      </x:c>
      <x:c r="C121" s="23" t="str">
        <x:v>5月30日</x:v>
      </x:c>
      <x:c r="D121" s="24" t="n">
        <x:v>2671</x:v>
      </x:c>
      <x:c r="E121" s="24" t="n">
        <x:v>2678.4</x:v>
      </x:c>
      <x:c r="F121" s="24" t="n">
        <x:v>2644.2</x:v>
      </x:c>
      <x:c r="G121" s="24" t="n">
        <x:v>2667.2</x:v>
      </x:c>
      <x:c r="H121" s="24"/>
      <x:c r="I121" s="25" t="n">
        <x:v>-0.002393776181927043</x:v>
      </x:c>
      <x:c r="J121" s="24" t="n">
        <x:f>ROUND(E121-F121,1)</x:f>
        <x:v>34.2</x:v>
      </x:c>
      <x:c r="K121" s="23" t="str">
        <x:v>IH2506</x:v>
      </x:c>
    </x:row>
    <x:row r="122">
      <x:c r="A122" s="38" t="str">
        <x:v>合计</x:v>
      </x:c>
      <x:c r="B122" s="37" t="n">
        <x:v>19</x:v>
      </x:c>
      <x:c r="C122" s="37"/>
      <x:c r="D122" s="37"/>
      <x:c r="E122" s="37"/>
      <x:c r="F122" s="37"/>
      <x:c r="G122" s="37"/>
      <x:c r="H122" s="37"/>
      <x:c r="I122" s="37"/>
      <x:c r="J122" s="39" t="n">
        <x:f>ROUND(SUM(J103:J121),1)</x:f>
        <x:v>541.4</x:v>
      </x:c>
      <x:c r="K122" s="37"/>
    </x:row>
    <x:row r="123">
      <x:c r="A123" s="38" t="str">
        <x:v>均值</x:v>
      </x:c>
      <x:c r="B123" s="37"/>
      <x:c r="C123" s="37"/>
      <x:c r="D123" s="37"/>
      <x:c r="E123" s="37"/>
      <x:c r="F123" s="37"/>
      <x:c r="G123" s="37"/>
      <x:c r="H123" s="37"/>
      <x:c r="I123" s="37"/>
      <x:c r="J123" s="41" t="n">
        <x:f>ROUND(IFERROR(AVERAGE(J103:J121),0),1)</x:f>
        <x:v>28.5</x:v>
      </x:c>
      <x:c r="K123" s="37"/>
    </x:row>
    <x:row r="125">
      <x:c r="A125" s="17" t="str">
        <x:v>6月</x:v>
      </x:c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</x:row>
    <x:row r="126">
      <x:c r="A126" s="20" t="str">
        <x:v>序号</x:v>
      </x:c>
      <x:c r="B126" s="20" t="str">
        <x:v>星期</x:v>
      </x:c>
      <x:c r="C126" s="20" t="str">
        <x:v>日期</x:v>
      </x:c>
      <x:c r="D126" s="20" t="str">
        <x:v>开盘</x:v>
      </x:c>
      <x:c r="E126" s="20" t="str">
        <x:v>高点</x:v>
      </x:c>
      <x:c r="F126" s="20" t="str">
        <x:v>低点</x:v>
      </x:c>
      <x:c r="G126" s="20" t="str">
        <x:v>收盘</x:v>
      </x:c>
      <x:c r="H126" s="20" t="str">
        <x:v>涨跌点数</x:v>
      </x:c>
      <x:c r="I126" s="20" t="str">
        <x:v>涨幅</x:v>
      </x:c>
      <x:c r="J126" s="20" t="str">
        <x:v>振幅</x:v>
      </x:c>
      <x:c r="K126" s="20" t="str">
        <x:v>标的</x:v>
      </x:c>
    </x:row>
    <x:row r="127">
      <x:c r="A127" s="23" t="n">
        <x:v>1</x:v>
      </x:c>
      <x:c r="B127" s="23" t="str">
        <x:v>周二</x:v>
      </x:c>
      <x:c r="C127" s="23" t="str">
        <x:v>6月3日</x:v>
      </x:c>
      <x:c r="D127" s="24" t="n">
        <x:v>2661.8</x:v>
      </x:c>
      <x:c r="E127" s="24" t="n">
        <x:v>2681.4</x:v>
      </x:c>
      <x:c r="F127" s="24" t="n">
        <x:v>2653.6</x:v>
      </x:c>
      <x:c r="G127" s="24" t="n">
        <x:v>2668.6</x:v>
      </x:c>
      <x:c r="H127" s="24"/>
      <x:c r="I127" s="25" t="n">
        <x:v>0.0005248950209957304</x:v>
      </x:c>
      <x:c r="J127" s="24" t="n">
        <x:f>ROUND(E127-F127,1)</x:f>
        <x:v>27.8</x:v>
      </x:c>
      <x:c r="K127" s="23" t="str">
        <x:v>IH2506</x:v>
      </x:c>
    </x:row>
    <x:row r="128">
      <x:c r="A128" s="23" t="n">
        <x:v>2</x:v>
      </x:c>
      <x:c r="B128" s="23" t="str">
        <x:v>周三</x:v>
      </x:c>
      <x:c r="C128" s="23" t="str">
        <x:v>6月4日</x:v>
      </x:c>
      <x:c r="D128" s="24" t="n">
        <x:v>2668.2</x:v>
      </x:c>
      <x:c r="E128" s="24" t="n">
        <x:v>2685</x:v>
      </x:c>
      <x:c r="F128" s="24" t="n">
        <x:v>2667</x:v>
      </x:c>
      <x:c r="G128" s="24" t="n">
        <x:v>2673.6</x:v>
      </x:c>
      <x:c r="H128" s="24"/>
      <x:c r="I128" s="25" t="n">
        <x:v>0.0018736416098328323</x:v>
      </x:c>
      <x:c r="J128" s="24" t="n">
        <x:f>ROUND(E128-F128,1)</x:f>
        <x:v>18</x:v>
      </x:c>
      <x:c r="K128" s="23" t="str">
        <x:v>IH2506</x:v>
      </x:c>
    </x:row>
    <x:row r="129">
      <x:c r="A129" s="23" t="n">
        <x:v>3</x:v>
      </x:c>
      <x:c r="B129" s="23" t="str">
        <x:v>周四</x:v>
      </x:c>
      <x:c r="C129" s="23" t="str">
        <x:v>6月5日</x:v>
      </x:c>
      <x:c r="D129" s="24" t="n">
        <x:v>2675.8</x:v>
      </x:c>
      <x:c r="E129" s="24" t="n">
        <x:v>2681.4</x:v>
      </x:c>
      <x:c r="F129" s="24" t="n">
        <x:v>2664.2</x:v>
      </x:c>
      <x:c r="G129" s="24" t="n">
        <x:v>2674</x:v>
      </x:c>
      <x:c r="H129" s="24"/>
      <x:c r="I129" s="25" t="n">
        <x:v>0.0001496110113705651</x:v>
      </x:c>
      <x:c r="J129" s="24" t="n">
        <x:f>ROUND(E129-F129,1)</x:f>
        <x:v>17.2</x:v>
      </x:c>
      <x:c r="K129" s="23" t="str">
        <x:v>IH2506</x:v>
      </x:c>
    </x:row>
    <x:row r="130">
      <x:c r="A130" s="23" t="n">
        <x:v>4</x:v>
      </x:c>
      <x:c r="B130" s="23" t="str">
        <x:v>周五</x:v>
      </x:c>
      <x:c r="C130" s="23" t="str">
        <x:v>6月6日</x:v>
      </x:c>
      <x:c r="D130" s="24" t="n">
        <x:v>2678</x:v>
      </x:c>
      <x:c r="E130" s="24" t="n">
        <x:v>2688.4</x:v>
      </x:c>
      <x:c r="F130" s="24" t="n">
        <x:v>2668.4</x:v>
      </x:c>
      <x:c r="G130" s="24" t="n">
        <x:v>2673.6</x:v>
      </x:c>
      <x:c r="H130" s="24"/>
      <x:c r="I130" s="25" t="n">
        <x:v>-0.00014958863126401933</x:v>
      </x:c>
      <x:c r="J130" s="24" t="n">
        <x:f>ROUND(E130-F130,1)</x:f>
        <x:v>20</x:v>
      </x:c>
      <x:c r="K130" s="23" t="str">
        <x:v>IH2506</x:v>
      </x:c>
    </x:row>
    <x:row r="131">
      <x:c r="A131" s="23" t="n">
        <x:v>5</x:v>
      </x:c>
      <x:c r="B131" s="23" t="str">
        <x:v>周一</x:v>
      </x:c>
      <x:c r="C131" s="23" t="str">
        <x:v>6月9日</x:v>
      </x:c>
      <x:c r="D131" s="24" t="n">
        <x:v>2676.8</x:v>
      </x:c>
      <x:c r="E131" s="24" t="n">
        <x:v>2689.6</x:v>
      </x:c>
      <x:c r="F131" s="24" t="n">
        <x:v>2665.6</x:v>
      </x:c>
      <x:c r="G131" s="24" t="n">
        <x:v>2676.6</x:v>
      </x:c>
      <x:c r="H131" s="24"/>
      <x:c r="I131" s="25" t="n">
        <x:v>0.001122082585278239</x:v>
      </x:c>
      <x:c r="J131" s="24" t="n">
        <x:f>ROUND(E131-F131,1)</x:f>
        <x:v>24</x:v>
      </x:c>
      <x:c r="K131" s="23" t="str">
        <x:v>IH2506</x:v>
      </x:c>
    </x:row>
    <x:row r="132">
      <x:c r="A132" s="23" t="n">
        <x:v>6</x:v>
      </x:c>
      <x:c r="B132" s="23" t="str">
        <x:v>周二</x:v>
      </x:c>
      <x:c r="C132" s="23" t="str">
        <x:v>6月10日</x:v>
      </x:c>
      <x:c r="D132" s="24" t="n">
        <x:v>2676</x:v>
      </x:c>
      <x:c r="E132" s="24" t="n">
        <x:v>2686.8</x:v>
      </x:c>
      <x:c r="F132" s="24" t="n">
        <x:v>2653.2</x:v>
      </x:c>
      <x:c r="G132" s="24" t="n">
        <x:v>2660</x:v>
      </x:c>
      <x:c r="H132" s="24"/>
      <x:c r="I132" s="25" t="n">
        <x:v>-0.006201897930209976</x:v>
      </x:c>
      <x:c r="J132" s="24" t="n">
        <x:f>ROUND(E132-F132,1)</x:f>
        <x:v>33.6</x:v>
      </x:c>
      <x:c r="K132" s="23" t="str">
        <x:v>IH2506</x:v>
      </x:c>
    </x:row>
    <x:row r="133">
      <x:c r="A133" s="23" t="n">
        <x:v>7</x:v>
      </x:c>
      <x:c r="B133" s="23" t="str">
        <x:v>周三</x:v>
      </x:c>
      <x:c r="C133" s="23" t="str">
        <x:v>6月11日</x:v>
      </x:c>
      <x:c r="D133" s="24" t="n">
        <x:v>2662.6</x:v>
      </x:c>
      <x:c r="E133" s="24" t="n">
        <x:v>2697.4</x:v>
      </x:c>
      <x:c r="F133" s="24" t="n">
        <x:v>2662.2</x:v>
      </x:c>
      <x:c r="G133" s="24" t="n">
        <x:v>2682.4</x:v>
      </x:c>
      <x:c r="H133" s="24"/>
      <x:c r="I133" s="25" t="n">
        <x:v>0.008421052631578885</x:v>
      </x:c>
      <x:c r="J133" s="24" t="n">
        <x:f>ROUND(E133-F133,1)</x:f>
        <x:v>35.2</x:v>
      </x:c>
      <x:c r="K133" s="23" t="str">
        <x:v>IH2506</x:v>
      </x:c>
    </x:row>
    <x:row r="134">
      <x:c r="A134" s="23" t="n">
        <x:v>8</x:v>
      </x:c>
      <x:c r="B134" s="23" t="str">
        <x:v>周四</x:v>
      </x:c>
      <x:c r="C134" s="23" t="str">
        <x:v>6月12日</x:v>
      </x:c>
      <x:c r="D134" s="24" t="n">
        <x:v>2670</x:v>
      </x:c>
      <x:c r="E134" s="24" t="n">
        <x:v>2687.8</x:v>
      </x:c>
      <x:c r="F134" s="24" t="n">
        <x:v>2660.2</x:v>
      </x:c>
      <x:c r="G134" s="24" t="n">
        <x:v>2682.2</x:v>
      </x:c>
      <x:c r="H134" s="24"/>
      <x:c r="I134" s="25" t="n">
        <x:v>-0.00007456009543704845</x:v>
      </x:c>
      <x:c r="J134" s="24" t="n">
        <x:f>ROUND(E134-F134,1)</x:f>
        <x:v>27.6</x:v>
      </x:c>
      <x:c r="K134" s="23" t="str">
        <x:v>IH2506</x:v>
      </x:c>
    </x:row>
    <x:row r="135">
      <x:c r="A135" s="23" t="n">
        <x:v>9</x:v>
      </x:c>
      <x:c r="B135" s="23" t="str">
        <x:v>周五</x:v>
      </x:c>
      <x:c r="C135" s="23" t="str">
        <x:v>6月13日</x:v>
      </x:c>
      <x:c r="D135" s="24" t="n">
        <x:v>2678.4</x:v>
      </x:c>
      <x:c r="E135" s="24" t="n">
        <x:v>2681</x:v>
      </x:c>
      <x:c r="F135" s="24" t="n">
        <x:v>2655.2</x:v>
      </x:c>
      <x:c r="G135" s="24" t="n">
        <x:v>2665.2</x:v>
      </x:c>
      <x:c r="H135" s="24"/>
      <x:c r="I135" s="25" t="n">
        <x:v>-0.006338080680038827</x:v>
      </x:c>
      <x:c r="J135" s="24" t="n">
        <x:f>ROUND(E135-F135,1)</x:f>
        <x:v>25.8</x:v>
      </x:c>
      <x:c r="K135" s="23" t="str">
        <x:v>IH2506</x:v>
      </x:c>
    </x:row>
    <x:row r="136">
      <x:c r="A136" s="23" t="n">
        <x:v>10</x:v>
      </x:c>
      <x:c r="B136" s="23" t="str">
        <x:v>周一</x:v>
      </x:c>
      <x:c r="C136" s="23" t="str">
        <x:v>6月16日</x:v>
      </x:c>
      <x:c r="D136" s="24" t="n">
        <x:v>2658</x:v>
      </x:c>
      <x:c r="E136" s="24" t="n">
        <x:v>2683</x:v>
      </x:c>
      <x:c r="F136" s="24" t="n">
        <x:v>2658</x:v>
      </x:c>
      <x:c r="G136" s="24" t="n">
        <x:v>2678.4</x:v>
      </x:c>
      <x:c r="H136" s="24"/>
      <x:c r="I136" s="25" t="n">
        <x:v>0.004952723998199016</x:v>
      </x:c>
      <x:c r="J136" s="24" t="n">
        <x:f>ROUND(E136-F136,1)</x:f>
        <x:v>25</x:v>
      </x:c>
      <x:c r="K136" s="23" t="str">
        <x:v>IH2506</x:v>
      </x:c>
    </x:row>
    <x:row r="137">
      <x:c r="A137" s="23" t="n">
        <x:v>11</x:v>
      </x:c>
      <x:c r="B137" s="23" t="str">
        <x:v>周二</x:v>
      </x:c>
      <x:c r="C137" s="23" t="str">
        <x:v>6月17日</x:v>
      </x:c>
      <x:c r="D137" s="24" t="n">
        <x:v>2683</x:v>
      </x:c>
      <x:c r="E137" s="24" t="n">
        <x:v>2683</x:v>
      </x:c>
      <x:c r="F137" s="24" t="n">
        <x:v>2664.4</x:v>
      </x:c>
      <x:c r="G137" s="24" t="n">
        <x:v>2680.8</x:v>
      </x:c>
      <x:c r="H137" s="24"/>
      <x:c r="I137" s="25" t="n">
        <x:v>0.0008960573476701761</x:v>
      </x:c>
      <x:c r="J137" s="24" t="n">
        <x:f>ROUND(E137-F137,1)</x:f>
        <x:v>18.6</x:v>
      </x:c>
      <x:c r="K137" s="23" t="str">
        <x:v>IH2506</x:v>
      </x:c>
    </x:row>
    <x:row r="138">
      <x:c r="A138" s="23" t="n">
        <x:v>12</x:v>
      </x:c>
      <x:c r="B138" s="23" t="str">
        <x:v>周三</x:v>
      </x:c>
      <x:c r="C138" s="23" t="str">
        <x:v>6月18日</x:v>
      </x:c>
      <x:c r="D138" s="24" t="n">
        <x:v>2682.4</x:v>
      </x:c>
      <x:c r="E138" s="24" t="n">
        <x:v>2687</x:v>
      </x:c>
      <x:c r="F138" s="24" t="n">
        <x:v>2664</x:v>
      </x:c>
      <x:c r="G138" s="24" t="n">
        <x:v>2677.4</x:v>
      </x:c>
      <x:c r="H138" s="24"/>
      <x:c r="I138" s="25" t="n">
        <x:v>-0.015666965085049278</x:v>
      </x:c>
      <x:c r="J138" s="24" t="n">
        <x:f>ROUND(E138-F138,1)</x:f>
        <x:v>23</x:v>
      </x:c>
      <x:c r="K138" s="23" t="str">
        <x:v>IH2506</x:v>
      </x:c>
    </x:row>
    <x:row r="139">
      <x:c r="A139" s="23" t="n">
        <x:v>13</x:v>
      </x:c>
      <x:c r="B139" s="23" t="str">
        <x:v>周四</x:v>
      </x:c>
      <x:c r="C139" s="23" t="str">
        <x:v>6月19日</x:v>
      </x:c>
      <x:c r="D139" s="24" t="n">
        <x:v>2673</x:v>
      </x:c>
      <x:c r="E139" s="24" t="n">
        <x:v>2673.6</x:v>
      </x:c>
      <x:c r="F139" s="24" t="n">
        <x:v>2651.8</x:v>
      </x:c>
      <x:c r="G139" s="24" t="n">
        <x:v>2659.2</x:v>
      </x:c>
      <x:c r="H139" s="24"/>
      <x:c r="I139" s="25" t="n">
        <x:v>-0.008033954827952217</x:v>
      </x:c>
      <x:c r="J139" s="24" t="n">
        <x:f>ROUND(E139-F139,1)</x:f>
        <x:v>21.8</x:v>
      </x:c>
      <x:c r="K139" s="23" t="str">
        <x:v>IH2506</x:v>
      </x:c>
    </x:row>
    <x:row r="140">
      <x:c r="A140" s="33" t="n">
        <x:v>14</x:v>
      </x:c>
      <x:c r="B140" s="33" t="str">
        <x:v>周五</x:v>
      </x:c>
      <x:c r="C140" s="33" t="str">
        <x:v>6月20日</x:v>
      </x:c>
      <x:c r="D140" s="34" t="n">
        <x:v>2660</x:v>
      </x:c>
      <x:c r="E140" s="34" t="n">
        <x:v>2678.8</x:v>
      </x:c>
      <x:c r="F140" s="34" t="n">
        <x:v>2659.4</x:v>
      </x:c>
      <x:c r="G140" s="34" t="n">
        <x:v>2675.2</x:v>
      </x:c>
      <x:c r="H140" s="34"/>
      <x:c r="I140" s="35" t="n">
        <x:v>0.006800122249388751</x:v>
      </x:c>
      <x:c r="J140" s="34" t="n">
        <x:f>ROUND(E140-F140,1)</x:f>
        <x:v>19.4</x:v>
      </x:c>
      <x:c r="K140" s="33" t="str">
        <x:v>IH2506</x:v>
      </x:c>
    </x:row>
    <x:row r="141">
      <x:c r="A141" s="23" t="n">
        <x:v>15</x:v>
      </x:c>
      <x:c r="B141" s="23" t="str">
        <x:v>周一</x:v>
      </x:c>
      <x:c r="C141" s="23" t="str">
        <x:v>6月23日</x:v>
      </x:c>
      <x:c r="D141" s="24" t="n">
        <x:v>2629</x:v>
      </x:c>
      <x:c r="E141" s="24" t="n">
        <x:v>2662.6</x:v>
      </x:c>
      <x:c r="F141" s="24" t="n">
        <x:v>2621</x:v>
      </x:c>
      <x:c r="G141" s="24" t="n">
        <x:v>2652.8</x:v>
      </x:c>
      <x:c r="H141" s="24"/>
      <x:c r="I141" s="25" t="n">
        <x:v>0.006602413295894394</x:v>
      </x:c>
      <x:c r="J141" s="24" t="n">
        <x:f>ROUND(E141-F141,1)</x:f>
        <x:v>41.6</x:v>
      </x:c>
      <x:c r="K141" s="23" t="str">
        <x:v>IH2509</x:v>
      </x:c>
    </x:row>
    <x:row r="142">
      <x:c r="A142" s="23" t="n">
        <x:v>16</x:v>
      </x:c>
      <x:c r="B142" s="23" t="str">
        <x:v>周二</x:v>
      </x:c>
      <x:c r="C142" s="23" t="str">
        <x:v>6月24日</x:v>
      </x:c>
      <x:c r="D142" s="24" t="n">
        <x:v>2654</x:v>
      </x:c>
      <x:c r="E142" s="24" t="n">
        <x:v>2704.2</x:v>
      </x:c>
      <x:c r="F142" s="24" t="n">
        <x:v>2654</x:v>
      </x:c>
      <x:c r="G142" s="24" t="n">
        <x:v>2682</x:v>
      </x:c>
      <x:c r="H142" s="24"/>
      <x:c r="I142" s="25" t="n">
        <x:v>0.011007237635705547</x:v>
      </x:c>
      <x:c r="J142" s="24" t="n">
        <x:f>ROUND(E142-F142,1)</x:f>
        <x:v>50.2</x:v>
      </x:c>
      <x:c r="K142" s="23" t="str">
        <x:v>IH2509</x:v>
      </x:c>
    </x:row>
    <x:row r="143">
      <x:c r="A143" s="23" t="n">
        <x:v>17</x:v>
      </x:c>
      <x:c r="B143" s="23" t="str">
        <x:v>周三</x:v>
      </x:c>
      <x:c r="C143" s="23" t="str">
        <x:v>6月25日</x:v>
      </x:c>
      <x:c r="D143" s="24" t="n">
        <x:v>2678.2</x:v>
      </x:c>
      <x:c r="E143" s="24" t="n">
        <x:v>2725.8</x:v>
      </x:c>
      <x:c r="F143" s="24" t="n">
        <x:v>2676.4</x:v>
      </x:c>
      <x:c r="G143" s="24" t="n">
        <x:v>2722.6</x:v>
      </x:c>
      <x:c r="H143" s="24"/>
      <x:c r="I143" s="25" t="n">
        <x:v>0.015137956748694892</x:v>
      </x:c>
      <x:c r="J143" s="24" t="n">
        <x:f>ROUND(E143-F143,1)</x:f>
        <x:v>49.4</x:v>
      </x:c>
      <x:c r="K143" s="23" t="str">
        <x:v>IH2509</x:v>
      </x:c>
    </x:row>
    <x:row r="144">
      <x:c r="A144" s="23" t="n">
        <x:v>18</x:v>
      </x:c>
      <x:c r="B144" s="23" t="str">
        <x:v>周四</x:v>
      </x:c>
      <x:c r="C144" s="23" t="str">
        <x:v>6月26日</x:v>
      </x:c>
      <x:c r="D144" s="24" t="n">
        <x:v>2716</x:v>
      </x:c>
      <x:c r="E144" s="24" t="n">
        <x:v>2722.8</x:v>
      </x:c>
      <x:c r="F144" s="24" t="n">
        <x:v>2708.4</x:v>
      </x:c>
      <x:c r="G144" s="24" t="n">
        <x:v>2711</x:v>
      </x:c>
      <x:c r="H144" s="24"/>
      <x:c r="I144" s="25" t="n">
        <x:v>-0.004260633218247212</x:v>
      </x:c>
      <x:c r="J144" s="24" t="n">
        <x:f>ROUND(E144-F144,1)</x:f>
        <x:v>14.4</x:v>
      </x:c>
      <x:c r="K144" s="23" t="str">
        <x:v>IH2509</x:v>
      </x:c>
    </x:row>
    <x:row r="145">
      <x:c r="A145" s="23" t="n">
        <x:v>19</x:v>
      </x:c>
      <x:c r="B145" s="23" t="str">
        <x:v>周五</x:v>
      </x:c>
      <x:c r="C145" s="23" t="str">
        <x:v>6月27日</x:v>
      </x:c>
      <x:c r="D145" s="24" t="n">
        <x:v>2714</x:v>
      </x:c>
      <x:c r="E145" s="24" t="n">
        <x:v>2725</x:v>
      </x:c>
      <x:c r="F145" s="24" t="n">
        <x:v>2678.4</x:v>
      </x:c>
      <x:c r="G145" s="24" t="n">
        <x:v>2680</x:v>
      </x:c>
      <x:c r="H145" s="24"/>
      <x:c r="I145" s="25" t="n">
        <x:v>-0.01143489487274063</x:v>
      </x:c>
      <x:c r="J145" s="24" t="n">
        <x:f>ROUND(E145-F145,1)</x:f>
        <x:v>46.6</x:v>
      </x:c>
      <x:c r="K145" s="23" t="str">
        <x:v>IH2509</x:v>
      </x:c>
    </x:row>
    <x:row r="146">
      <x:c r="A146" s="23" t="n">
        <x:v>20</x:v>
      </x:c>
      <x:c r="B146" s="23" t="str">
        <x:v>周一</x:v>
      </x:c>
      <x:c r="C146" s="23" t="str">
        <x:v>6月30日</x:v>
      </x:c>
      <x:c r="D146" s="24" t="n">
        <x:v>2683.2</x:v>
      </x:c>
      <x:c r="E146" s="24" t="n">
        <x:v>2690.8</x:v>
      </x:c>
      <x:c r="F146" s="24" t="n">
        <x:v>2670.2</x:v>
      </x:c>
      <x:c r="G146" s="24" t="n">
        <x:v>2689</x:v>
      </x:c>
      <x:c r="H146" s="24"/>
      <x:c r="I146" s="25" t="n">
        <x:v>0.0033582089552239847</x:v>
      </x:c>
      <x:c r="J146" s="24" t="n">
        <x:f>ROUND(E146-F146,1)</x:f>
        <x:v>20.6</x:v>
      </x:c>
      <x:c r="K146" s="23" t="str">
        <x:v>IH2509</x:v>
      </x:c>
    </x:row>
    <x:row r="147">
      <x:c r="A147" s="38" t="str">
        <x:v>合计</x:v>
      </x:c>
      <x:c r="B147" s="37" t="n">
        <x:v>20</x:v>
      </x:c>
      <x:c r="C147" s="37"/>
      <x:c r="D147" s="37"/>
      <x:c r="E147" s="37"/>
      <x:c r="F147" s="37"/>
      <x:c r="G147" s="37"/>
      <x:c r="H147" s="37"/>
      <x:c r="I147" s="37"/>
      <x:c r="J147" s="39" t="n">
        <x:f>ROUND(SUM(J127:J146),1)</x:f>
        <x:v>559.8</x:v>
      </x:c>
      <x:c r="K147" s="37"/>
    </x:row>
    <x:row r="148">
      <x:c r="A148" s="38" t="str">
        <x:v>均值</x:v>
      </x:c>
      <x:c r="B148" s="37"/>
      <x:c r="C148" s="37"/>
      <x:c r="D148" s="37"/>
      <x:c r="E148" s="37"/>
      <x:c r="F148" s="37"/>
      <x:c r="G148" s="37"/>
      <x:c r="H148" s="37"/>
      <x:c r="I148" s="37"/>
      <x:c r="J148" s="41" t="n">
        <x:f>ROUND(IFERROR(AVERAGE(J127:J146),0),1)</x:f>
        <x:v>28</x:v>
      </x:c>
      <x:c r="K148" s="37"/>
    </x:row>
    <x:row r="150">
      <x:c r="A150" s="17" t="str">
        <x:v>7月</x:v>
      </x:c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</x:row>
    <x:row r="151">
      <x:c r="A151" s="20" t="str">
        <x:v>序号</x:v>
      </x:c>
      <x:c r="B151" s="20" t="str">
        <x:v>星期</x:v>
      </x:c>
      <x:c r="C151" s="20" t="str">
        <x:v>日期</x:v>
      </x:c>
      <x:c r="D151" s="20" t="str">
        <x:v>开盘</x:v>
      </x:c>
      <x:c r="E151" s="20" t="str">
        <x:v>高点</x:v>
      </x:c>
      <x:c r="F151" s="20" t="str">
        <x:v>低点</x:v>
      </x:c>
      <x:c r="G151" s="20" t="str">
        <x:v>收盘</x:v>
      </x:c>
      <x:c r="H151" s="20" t="str">
        <x:v>涨跌点数</x:v>
      </x:c>
      <x:c r="I151" s="20" t="str">
        <x:v>涨幅</x:v>
      </x:c>
      <x:c r="J151" s="20" t="str">
        <x:v>振幅</x:v>
      </x:c>
      <x:c r="K151" s="20" t="str">
        <x:v>标的</x:v>
      </x:c>
    </x:row>
    <x:row r="152">
      <x:c r="A152" s="23" t="n">
        <x:v>1</x:v>
      </x:c>
      <x:c r="B152" s="23" t="str">
        <x:v>周二</x:v>
      </x:c>
      <x:c r="C152" s="23" t="str">
        <x:v>7月1日</x:v>
      </x:c>
      <x:c r="D152" s="24" t="n">
        <x:v>2691</x:v>
      </x:c>
      <x:c r="E152" s="24" t="n">
        <x:v>2696.6</x:v>
      </x:c>
      <x:c r="F152" s="24" t="n">
        <x:v>2680.6</x:v>
      </x:c>
      <x:c r="G152" s="24" t="n">
        <x:v>2689.8</x:v>
      </x:c>
      <x:c r="H152" s="24"/>
      <x:c r="I152" s="25" t="n">
        <x:v>0.0002975083674228163</x:v>
      </x:c>
      <x:c r="J152" s="24" t="n">
        <x:f>ROUND(E152-F152,1)</x:f>
        <x:v>16</x:v>
      </x:c>
      <x:c r="K152" s="23" t="str">
        <x:v>IH2509</x:v>
      </x:c>
    </x:row>
    <x:row r="153">
      <x:c r="A153" s="23" t="n">
        <x:v>2</x:v>
      </x:c>
      <x:c r="B153" s="23" t="str">
        <x:v>周三</x:v>
      </x:c>
      <x:c r="C153" s="23" t="str">
        <x:v>7月2日</x:v>
      </x:c>
      <x:c r="D153" s="24" t="n">
        <x:v>2692</x:v>
      </x:c>
      <x:c r="E153" s="24" t="n">
        <x:v>2701.2</x:v>
      </x:c>
      <x:c r="F153" s="24" t="n">
        <x:v>2683</x:v>
      </x:c>
      <x:c r="G153" s="24" t="n">
        <x:v>2696.8</x:v>
      </x:c>
      <x:c r="H153" s="24"/>
      <x:c r="I153" s="25" t="n">
        <x:v>0.002602423972042578</x:v>
      </x:c>
      <x:c r="J153" s="24" t="n">
        <x:f>ROUND(E153-F153,1)</x:f>
        <x:v>18.2</x:v>
      </x:c>
      <x:c r="K153" s="23" t="str">
        <x:v>IH2509</x:v>
      </x:c>
    </x:row>
    <x:row r="154">
      <x:c r="A154" s="23" t="n">
        <x:v>3</x:v>
      </x:c>
      <x:c r="B154" s="23" t="str">
        <x:v>周四</x:v>
      </x:c>
      <x:c r="C154" s="23" t="str">
        <x:v>7月3日</x:v>
      </x:c>
      <x:c r="D154" s="24" t="n">
        <x:v>2700</x:v>
      </x:c>
      <x:c r="E154" s="24" t="n">
        <x:v>2704.4</x:v>
      </x:c>
      <x:c r="F154" s="24" t="n">
        <x:v>2688</x:v>
      </x:c>
      <x:c r="G154" s="24" t="n">
        <x:v>2701.8</x:v>
      </x:c>
      <x:c r="H154" s="24"/>
      <x:c r="I154" s="25" t="n">
        <x:v>0.0018540492435479283</x:v>
      </x:c>
      <x:c r="J154" s="24" t="n">
        <x:f>ROUND(E154-F154,1)</x:f>
        <x:v>16.4</x:v>
      </x:c>
      <x:c r="K154" s="23" t="str">
        <x:v>IH2509</x:v>
      </x:c>
    </x:row>
    <x:row r="155">
      <x:c r="A155" s="23" t="n">
        <x:v>4</x:v>
      </x:c>
      <x:c r="B155" s="23" t="str">
        <x:v>周五</x:v>
      </x:c>
      <x:c r="C155" s="23" t="str">
        <x:v>7月4日</x:v>
      </x:c>
      <x:c r="D155" s="24" t="n">
        <x:v>2699.8</x:v>
      </x:c>
      <x:c r="E155" s="24" t="n">
        <x:v>2741.6</x:v>
      </x:c>
      <x:c r="F155" s="24" t="n">
        <x:v>2690</x:v>
      </x:c>
      <x:c r="G155" s="24" t="n">
        <x:v>2717.2</x:v>
      </x:c>
      <x:c r="H155" s="24"/>
      <x:c r="I155" s="25" t="n">
        <x:v>0.005699903767858228</x:v>
      </x:c>
      <x:c r="J155" s="24" t="n">
        <x:f>ROUND(E155-F155,1)</x:f>
        <x:v>51.6</x:v>
      </x:c>
      <x:c r="K155" s="23" t="str">
        <x:v>IH2509</x:v>
      </x:c>
    </x:row>
    <x:row r="156">
      <x:c r="A156" s="23" t="n">
        <x:v>5</x:v>
      </x:c>
      <x:c r="B156" s="23" t="str">
        <x:v>周一</x:v>
      </x:c>
      <x:c r="C156" s="23" t="str">
        <x:v>7月7日</x:v>
      </x:c>
      <x:c r="D156" s="24" t="n">
        <x:v>2712</x:v>
      </x:c>
      <x:c r="E156" s="24" t="n">
        <x:v>2715.8</x:v>
      </x:c>
      <x:c r="F156" s="24" t="n">
        <x:v>2699.2</x:v>
      </x:c>
      <x:c r="G156" s="24" t="n">
        <x:v>2708</x:v>
      </x:c>
      <x:c r="H156" s="24"/>
      <x:c r="I156" s="25" t="n">
        <x:v>-0.0033858383630206434</x:v>
      </x:c>
      <x:c r="J156" s="24" t="n">
        <x:f>ROUND(E156-F156,1)</x:f>
        <x:v>16.6</x:v>
      </x:c>
      <x:c r="K156" s="23" t="str">
        <x:v>IH2509</x:v>
      </x:c>
    </x:row>
    <x:row r="157">
      <x:c r="A157" s="23" t="n">
        <x:v>6</x:v>
      </x:c>
      <x:c r="B157" s="23" t="str">
        <x:v>周二</x:v>
      </x:c>
      <x:c r="C157" s="23" t="str">
        <x:v>7月8日</x:v>
      </x:c>
      <x:c r="D157" s="24" t="n">
        <x:v>2710.6</x:v>
      </x:c>
      <x:c r="E157" s="24" t="n">
        <x:v>2733.4</x:v>
      </x:c>
      <x:c r="F157" s="24" t="n">
        <x:v>2709</x:v>
      </x:c>
      <x:c r="G157" s="24" t="n">
        <x:v>2727.8</x:v>
      </x:c>
      <x:c r="H157" s="24"/>
      <x:c r="I157" s="25" t="n">
        <x:v>0.007311669128508225</x:v>
      </x:c>
      <x:c r="J157" s="24" t="n">
        <x:f>ROUND(E157-F157,1)</x:f>
        <x:v>24.4</x:v>
      </x:c>
      <x:c r="K157" s="23" t="str">
        <x:v>IH2509</x:v>
      </x:c>
    </x:row>
    <x:row r="158">
      <x:c r="A158" s="23" t="n">
        <x:v>7</x:v>
      </x:c>
      <x:c r="B158" s="23" t="str">
        <x:v>周三</x:v>
      </x:c>
      <x:c r="C158" s="23" t="str">
        <x:v>7月9日</x:v>
      </x:c>
      <x:c r="D158" s="24" t="n">
        <x:v>2727</x:v>
      </x:c>
      <x:c r="E158" s="24" t="n">
        <x:v>2739</x:v>
      </x:c>
      <x:c r="F158" s="24" t="n">
        <x:v>2720</x:v>
      </x:c>
      <x:c r="G158" s="24" t="n">
        <x:v>2724</x:v>
      </x:c>
      <x:c r="H158" s="24"/>
      <x:c r="I158" s="25" t="n">
        <x:v>-0.0013930640076252887</x:v>
      </x:c>
      <x:c r="J158" s="24" t="n">
        <x:f>ROUND(E158-F158,1)</x:f>
        <x:v>19</x:v>
      </x:c>
      <x:c r="K158" s="23" t="str">
        <x:v>IH2509</x:v>
      </x:c>
    </x:row>
    <x:row r="159">
      <x:c r="A159" s="23" t="n">
        <x:v>8</x:v>
      </x:c>
      <x:c r="B159" s="23" t="str">
        <x:v>周四</x:v>
      </x:c>
      <x:c r="C159" s="23" t="str">
        <x:v>7月10日</x:v>
      </x:c>
      <x:c r="D159" s="24" t="n">
        <x:v>2724</x:v>
      </x:c>
      <x:c r="E159" s="24" t="n">
        <x:v>2764.8</x:v>
      </x:c>
      <x:c r="F159" s="24" t="n">
        <x:v>2720.4</x:v>
      </x:c>
      <x:c r="G159" s="24" t="n">
        <x:v>2740.4</x:v>
      </x:c>
      <x:c r="H159" s="24"/>
      <x:c r="I159" s="25" t="n">
        <x:v>0.006020558002936882</x:v>
      </x:c>
      <x:c r="J159" s="24" t="n">
        <x:f>ROUND(E159-F159,1)</x:f>
        <x:v>44.4</x:v>
      </x:c>
      <x:c r="K159" s="23" t="str">
        <x:v>IH2509</x:v>
      </x:c>
    </x:row>
    <x:row r="160">
      <x:c r="A160" s="23" t="n">
        <x:v>9</x:v>
      </x:c>
      <x:c r="B160" s="23" t="str">
        <x:v>周五</x:v>
      </x:c>
      <x:c r="C160" s="23" t="str">
        <x:v>7月11日</x:v>
      </x:c>
      <x:c r="D160" s="24" t="n">
        <x:v>2738</x:v>
      </x:c>
      <x:c r="E160" s="24" t="n">
        <x:v>2798.8</x:v>
      </x:c>
      <x:c r="F160" s="24" t="n">
        <x:v>2738</x:v>
      </x:c>
      <x:c r="G160" s="24" t="n">
        <x:v>2751.6</x:v>
      </x:c>
      <x:c r="H160" s="24"/>
      <x:c r="I160" s="25" t="n">
        <x:v>0.004086994599328486</x:v>
      </x:c>
      <x:c r="J160" s="29" t="n">
        <x:f>ROUND(E160-F160,1)</x:f>
        <x:v>60.8</x:v>
      </x:c>
      <x:c r="K160" s="23" t="str">
        <x:v>IH2509</x:v>
      </x:c>
    </x:row>
    <x:row r="161">
      <x:c r="A161" s="23" t="n">
        <x:v>10</x:v>
      </x:c>
      <x:c r="B161" s="23" t="str">
        <x:v>周一</x:v>
      </x:c>
      <x:c r="C161" s="23" t="str">
        <x:v>7月14日</x:v>
      </x:c>
      <x:c r="D161" s="24" t="n">
        <x:v>2750</x:v>
      </x:c>
      <x:c r="E161" s="24" t="n">
        <x:v>2762</x:v>
      </x:c>
      <x:c r="F161" s="24" t="n">
        <x:v>2745</x:v>
      </x:c>
      <x:c r="G161" s="24" t="n">
        <x:v>2747.4</x:v>
      </x:c>
      <x:c r="H161" s="24"/>
      <x:c r="I161" s="25" t="n">
        <x:v>-0.0015263846489315114</x:v>
      </x:c>
      <x:c r="J161" s="24" t="n">
        <x:f>ROUND(E161-F161,1)</x:f>
        <x:v>17</x:v>
      </x:c>
      <x:c r="K161" s="23" t="str">
        <x:v>IH2509</x:v>
      </x:c>
    </x:row>
    <x:row r="162">
      <x:c r="A162" s="23" t="n">
        <x:v>11</x:v>
      </x:c>
      <x:c r="B162" s="23" t="str">
        <x:v>周二</x:v>
      </x:c>
      <x:c r="C162" s="23" t="str">
        <x:v>7月15日</x:v>
      </x:c>
      <x:c r="D162" s="24" t="n">
        <x:v>2749.8</x:v>
      </x:c>
      <x:c r="E162" s="24" t="n">
        <x:v>2756.6</x:v>
      </x:c>
      <x:c r="F162" s="24" t="n">
        <x:v>2717.8</x:v>
      </x:c>
      <x:c r="G162" s="24" t="n">
        <x:v>2734.2</x:v>
      </x:c>
      <x:c r="H162" s="24"/>
      <x:c r="I162" s="25" t="n">
        <x:v>-0.004804542476523399</x:v>
      </x:c>
      <x:c r="J162" s="24" t="n">
        <x:f>ROUND(E162-F162,1)</x:f>
        <x:v>38.8</x:v>
      </x:c>
      <x:c r="K162" s="23" t="str">
        <x:v>IH2509</x:v>
      </x:c>
    </x:row>
    <x:row r="163">
      <x:c r="A163" s="23" t="n">
        <x:v>12</x:v>
      </x:c>
      <x:c r="B163" s="23" t="str">
        <x:v>周三</x:v>
      </x:c>
      <x:c r="C163" s="23" t="str">
        <x:v>7月16日</x:v>
      </x:c>
      <x:c r="D163" s="24" t="n">
        <x:v>2737</x:v>
      </x:c>
      <x:c r="E163" s="24" t="n">
        <x:v>2745.6</x:v>
      </x:c>
      <x:c r="F163" s="24" t="n">
        <x:v>2719.6</x:v>
      </x:c>
      <x:c r="G163" s="24" t="n">
        <x:v>2730.4</x:v>
      </x:c>
      <x:c r="H163" s="24"/>
      <x:c r="I163" s="25" t="n">
        <x:v>-0.0013898032331211008</x:v>
      </x:c>
      <x:c r="J163" s="24" t="n">
        <x:f>ROUND(E163-F163,1)</x:f>
        <x:v>26</x:v>
      </x:c>
      <x:c r="K163" s="23" t="str">
        <x:v>IH2509</x:v>
      </x:c>
    </x:row>
    <x:row r="164">
      <x:c r="A164" s="23" t="n">
        <x:v>13</x:v>
      </x:c>
      <x:c r="B164" s="23" t="str">
        <x:v>周四</x:v>
      </x:c>
      <x:c r="C164" s="23" t="str">
        <x:v>7月17日</x:v>
      </x:c>
      <x:c r="D164" s="24" t="n">
        <x:v>2728.2</x:v>
      </x:c>
      <x:c r="E164" s="24" t="n">
        <x:v>2741.8</x:v>
      </x:c>
      <x:c r="F164" s="24" t="n">
        <x:v>2725.4</x:v>
      </x:c>
      <x:c r="G164" s="24" t="n">
        <x:v>2741.4</x:v>
      </x:c>
      <x:c r="H164" s="24"/>
      <x:c r="I164" s="25" t="n">
        <x:v>0.0040287137415764285</x:v>
      </x:c>
      <x:c r="J164" s="24" t="n">
        <x:f>ROUND(E164-F164,1)</x:f>
        <x:v>16.4</x:v>
      </x:c>
      <x:c r="K164" s="23" t="str">
        <x:v>IH2509</x:v>
      </x:c>
    </x:row>
    <x:row r="165">
      <x:c r="A165" s="33" t="n">
        <x:v>14</x:v>
      </x:c>
      <x:c r="B165" s="33" t="str">
        <x:v>周五</x:v>
      </x:c>
      <x:c r="C165" s="33" t="str">
        <x:v>7月18日</x:v>
      </x:c>
      <x:c r="D165" s="34" t="n">
        <x:v>2746</x:v>
      </x:c>
      <x:c r="E165" s="34" t="n">
        <x:v>2770</x:v>
      </x:c>
      <x:c r="F165" s="34" t="n">
        <x:v>2742.6</x:v>
      </x:c>
      <x:c r="G165" s="34" t="n">
        <x:v>2767</x:v>
      </x:c>
      <x:c r="H165" s="34"/>
      <x:c r="I165" s="35" t="n">
        <x:v>0.00933829430218136</x:v>
      </x:c>
      <x:c r="J165" s="34" t="n">
        <x:f>ROUND(E165-F165,1)</x:f>
        <x:v>27.4</x:v>
      </x:c>
      <x:c r="K165" s="33" t="str">
        <x:v>IH2509</x:v>
      </x:c>
    </x:row>
    <x:row r="166">
      <x:c r="A166" s="23" t="n">
        <x:v>15</x:v>
      </x:c>
      <x:c r="B166" s="23" t="str">
        <x:v>周一</x:v>
      </x:c>
      <x:c r="C166" s="23" t="str">
        <x:v>7月21日</x:v>
      </x:c>
      <x:c r="D166" s="24" t="n">
        <x:v>2775</x:v>
      </x:c>
      <x:c r="E166" s="24" t="n">
        <x:v>2779.8</x:v>
      </x:c>
      <x:c r="F166" s="24" t="n">
        <x:v>2763</x:v>
      </x:c>
      <x:c r="G166" s="24" t="n">
        <x:v>2771.2</x:v>
      </x:c>
      <x:c r="H166" s="24"/>
      <x:c r="I166" s="25" t="n">
        <x:v>0.0015178894109142416</x:v>
      </x:c>
      <x:c r="J166" s="24" t="n">
        <x:f>ROUND(E166-F166,1)</x:f>
        <x:v>16.8</x:v>
      </x:c>
      <x:c r="K166" s="23" t="str">
        <x:v>IH2509</x:v>
      </x:c>
    </x:row>
    <x:row r="167">
      <x:c r="A167" s="23" t="n">
        <x:v>16</x:v>
      </x:c>
      <x:c r="B167" s="23" t="str">
        <x:v>周二</x:v>
      </x:c>
      <x:c r="C167" s="23" t="str">
        <x:v>7月22日</x:v>
      </x:c>
      <x:c r="D167" s="24" t="n">
        <x:v>2772</x:v>
      </x:c>
      <x:c r="E167" s="24" t="n">
        <x:v>2798.8</x:v>
      </x:c>
      <x:c r="F167" s="24" t="n">
        <x:v>2762.2</x:v>
      </x:c>
      <x:c r="G167" s="24" t="n">
        <x:v>2796.8</x:v>
      </x:c>
      <x:c r="H167" s="24"/>
      <x:c r="I167" s="25" t="n">
        <x:v>0.009237875288683695</x:v>
      </x:c>
      <x:c r="J167" s="24" t="n">
        <x:f>ROUND(E167-F167,1)</x:f>
        <x:v>36.6</x:v>
      </x:c>
      <x:c r="K167" s="23" t="str">
        <x:v>IH2509</x:v>
      </x:c>
    </x:row>
    <x:row r="168">
      <x:c r="A168" s="23" t="n">
        <x:v>17</x:v>
      </x:c>
      <x:c r="B168" s="23" t="str">
        <x:v>周三</x:v>
      </x:c>
      <x:c r="C168" s="23" t="str">
        <x:v>7月23日</x:v>
      </x:c>
      <x:c r="D168" s="24" t="n">
        <x:v>2803.2</x:v>
      </x:c>
      <x:c r="E168" s="24" t="n">
        <x:v>2827.6</x:v>
      </x:c>
      <x:c r="F168" s="24" t="n">
        <x:v>2795</x:v>
      </x:c>
      <x:c r="G168" s="24" t="n">
        <x:v>2802.8</x:v>
      </x:c>
      <x:c r="H168" s="24"/>
      <x:c r="I168" s="25" t="n">
        <x:v>0.0021453089244851675</x:v>
      </x:c>
      <x:c r="J168" s="24" t="n">
        <x:f>ROUND(E168-F168,1)</x:f>
        <x:v>32.6</x:v>
      </x:c>
      <x:c r="K168" s="23" t="str">
        <x:v>IH2509</x:v>
      </x:c>
    </x:row>
    <x:row r="169">
      <x:c r="A169" s="23" t="n">
        <x:v>18</x:v>
      </x:c>
      <x:c r="B169" s="23" t="str">
        <x:v>周四</x:v>
      </x:c>
      <x:c r="C169" s="23" t="str">
        <x:v>7月24日</x:v>
      </x:c>
      <x:c r="D169" s="24" t="n">
        <x:v>2798</x:v>
      </x:c>
      <x:c r="E169" s="24" t="n">
        <x:v>2823.4</x:v>
      </x:c>
      <x:c r="F169" s="24" t="n">
        <x:v>2795.6</x:v>
      </x:c>
      <x:c r="G169" s="24" t="n">
        <x:v>2816.6</x:v>
      </x:c>
      <x:c r="H169" s="24"/>
      <x:c r="I169" s="25" t="n">
        <x:v>0.004923647780790574</x:v>
      </x:c>
      <x:c r="J169" s="24" t="n">
        <x:f>ROUND(E169-F169,1)</x:f>
        <x:v>27.8</x:v>
      </x:c>
      <x:c r="K169" s="23" t="str">
        <x:v>IH2509</x:v>
      </x:c>
    </x:row>
    <x:row r="170">
      <x:c r="A170" s="23" t="n">
        <x:v>19</x:v>
      </x:c>
      <x:c r="B170" s="23" t="str">
        <x:v>周五</x:v>
      </x:c>
      <x:c r="C170" s="23" t="str">
        <x:v>7月25日</x:v>
      </x:c>
      <x:c r="D170" s="24" t="n">
        <x:v>2812.4</x:v>
      </x:c>
      <x:c r="E170" s="24" t="n">
        <x:v>2813.2</x:v>
      </x:c>
      <x:c r="F170" s="24" t="n">
        <x:v>2787</x:v>
      </x:c>
      <x:c r="G170" s="24" t="n">
        <x:v>2796.8</x:v>
      </x:c>
      <x:c r="H170" s="24"/>
      <x:c r="I170" s="25" t="n">
        <x:v>-0.007029752183483562</x:v>
      </x:c>
      <x:c r="J170" s="24" t="n">
        <x:f>ROUND(E170-F170,1)</x:f>
        <x:v>26.2</x:v>
      </x:c>
      <x:c r="K170" s="23" t="str">
        <x:v>IH2509</x:v>
      </x:c>
    </x:row>
    <x:row r="171">
      <x:c r="A171" s="23" t="n">
        <x:v>20</x:v>
      </x:c>
      <x:c r="B171" s="23" t="str">
        <x:v>周一</x:v>
      </x:c>
      <x:c r="C171" s="23" t="str">
        <x:v>7月28日</x:v>
      </x:c>
      <x:c r="D171" s="24" t="n">
        <x:v>2796.2</x:v>
      </x:c>
      <x:c r="E171" s="24" t="n">
        <x:v>2810.6</x:v>
      </x:c>
      <x:c r="F171" s="24" t="n">
        <x:v>2785.4</x:v>
      </x:c>
      <x:c r="G171" s="24" t="n">
        <x:v>2805.8</x:v>
      </x:c>
      <x:c r="H171" s="24"/>
      <x:c r="I171" s="25" t="n">
        <x:v>0.0032179633867277513</x:v>
      </x:c>
      <x:c r="J171" s="24" t="n">
        <x:f>ROUND(E171-F171,1)</x:f>
        <x:v>25.2</x:v>
      </x:c>
      <x:c r="K171" s="23" t="str">
        <x:v>IH2509</x:v>
      </x:c>
    </x:row>
    <x:row r="172">
      <x:c r="A172" s="23" t="n">
        <x:v>21</x:v>
      </x:c>
      <x:c r="B172" s="23" t="str">
        <x:v>周二</x:v>
      </x:c>
      <x:c r="C172" s="23" t="str">
        <x:v>7月29日</x:v>
      </x:c>
      <x:c r="D172" s="24" t="n">
        <x:v>2801</x:v>
      </x:c>
      <x:c r="E172" s="24" t="n">
        <x:v>2817.6</x:v>
      </x:c>
      <x:c r="F172" s="24" t="n">
        <x:v>2792.8</x:v>
      </x:c>
      <x:c r="G172" s="24" t="n">
        <x:v>2814</x:v>
      </x:c>
      <x:c r="H172" s="24"/>
      <x:c r="I172" s="25" t="n">
        <x:v>0.0029225176420271115</x:v>
      </x:c>
      <x:c r="J172" s="24" t="n">
        <x:f>ROUND(E172-F172,1)</x:f>
        <x:v>24.8</x:v>
      </x:c>
      <x:c r="K172" s="23" t="str">
        <x:v>IH2509</x:v>
      </x:c>
    </x:row>
    <x:row r="173">
      <x:c r="A173" s="23" t="n">
        <x:v>22</x:v>
      </x:c>
      <x:c r="B173" s="23" t="str">
        <x:v>周三</x:v>
      </x:c>
      <x:c r="C173" s="23" t="str">
        <x:v>7月30日</x:v>
      </x:c>
      <x:c r="D173" s="24" t="n">
        <x:v>2812</x:v>
      </x:c>
      <x:c r="E173" s="24" t="n">
        <x:v>2846</x:v>
      </x:c>
      <x:c r="F173" s="24" t="n">
        <x:v>2801</x:v>
      </x:c>
      <x:c r="G173" s="24" t="n">
        <x:v>2820</x:v>
      </x:c>
      <x:c r="H173" s="24"/>
      <x:c r="I173" s="25" t="n">
        <x:v>0.002132196162046851</x:v>
      </x:c>
      <x:c r="J173" s="24" t="n">
        <x:f>ROUND(E173-F173,1)</x:f>
        <x:v>45</x:v>
      </x:c>
      <x:c r="K173" s="23" t="str">
        <x:v>IH2509</x:v>
      </x:c>
    </x:row>
    <x:row r="174">
      <x:c r="A174" s="23" t="n">
        <x:v>23</x:v>
      </x:c>
      <x:c r="B174" s="23" t="str">
        <x:v>周四</x:v>
      </x:c>
      <x:c r="C174" s="23" t="str">
        <x:v>7月31日</x:v>
      </x:c>
      <x:c r="D174" s="24" t="n">
        <x:v>2811.6</x:v>
      </x:c>
      <x:c r="E174" s="24" t="n">
        <x:v>2811.6</x:v>
      </x:c>
      <x:c r="F174" s="24" t="n">
        <x:v>2763.4</x:v>
      </x:c>
      <x:c r="G174" s="24" t="n">
        <x:v>2777</x:v>
      </x:c>
      <x:c r="H174" s="24"/>
      <x:c r="I174" s="25" t="n">
        <x:v>-0.01524822695035466</x:v>
      </x:c>
      <x:c r="J174" s="24" t="n">
        <x:f>ROUND(E174-F174,1)</x:f>
        <x:v>48.2</x:v>
      </x:c>
      <x:c r="K174" s="23" t="str">
        <x:v>IH2509</x:v>
      </x:c>
    </x:row>
    <x:row r="175">
      <x:c r="A175" s="38" t="str">
        <x:v>合计</x:v>
      </x:c>
      <x:c r="B175" s="37" t="n">
        <x:v>23</x:v>
      </x:c>
      <x:c r="C175" s="37"/>
      <x:c r="D175" s="37"/>
      <x:c r="E175" s="37"/>
      <x:c r="F175" s="37"/>
      <x:c r="G175" s="37"/>
      <x:c r="H175" s="37"/>
      <x:c r="I175" s="37"/>
      <x:c r="J175" s="39" t="n">
        <x:f>ROUND(SUM(J152:J174),1)</x:f>
        <x:v>676.2</x:v>
      </x:c>
      <x:c r="K175" s="37"/>
    </x:row>
    <x:row r="176">
      <x:c r="A176" s="38" t="str">
        <x:v>均值</x:v>
      </x:c>
      <x:c r="B176" s="37"/>
      <x:c r="C176" s="37"/>
      <x:c r="D176" s="37"/>
      <x:c r="E176" s="37"/>
      <x:c r="F176" s="37"/>
      <x:c r="G176" s="37"/>
      <x:c r="H176" s="37"/>
      <x:c r="I176" s="37"/>
      <x:c r="J176" s="41" t="n">
        <x:f>ROUND(IFERROR(AVERAGE(J152:J174),0),1)</x:f>
        <x:v>29.4</x:v>
      </x:c>
      <x:c r="K176" s="37"/>
    </x:row>
    <x:row r="178">
      <x:c r="A178" s="17" t="str">
        <x:v>8月</x:v>
      </x:c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</x:row>
    <x:row r="179">
      <x:c r="A179" s="20" t="str">
        <x:v>序号</x:v>
      </x:c>
      <x:c r="B179" s="20" t="str">
        <x:v>星期</x:v>
      </x:c>
      <x:c r="C179" s="20" t="str">
        <x:v>日期</x:v>
      </x:c>
      <x:c r="D179" s="20" t="str">
        <x:v>开盘</x:v>
      </x:c>
      <x:c r="E179" s="20" t="str">
        <x:v>高点</x:v>
      </x:c>
      <x:c r="F179" s="20" t="str">
        <x:v>低点</x:v>
      </x:c>
      <x:c r="G179" s="20" t="str">
        <x:v>收盘</x:v>
      </x:c>
      <x:c r="H179" s="20" t="str">
        <x:v>涨跌点数</x:v>
      </x:c>
      <x:c r="I179" s="20" t="str">
        <x:v>涨幅</x:v>
      </x:c>
      <x:c r="J179" s="20" t="str">
        <x:v>振幅</x:v>
      </x:c>
      <x:c r="K179" s="20" t="str">
        <x:v>标的</x:v>
      </x:c>
    </x:row>
    <x:row r="180">
      <x:c r="A180" s="23" t="n">
        <x:v>1</x:v>
      </x:c>
      <x:c r="B180" s="23" t="str">
        <x:v>周五</x:v>
      </x:c>
      <x:c r="C180" s="23" t="str">
        <x:v>8月1日</x:v>
      </x:c>
      <x:c r="D180" s="24" t="n">
        <x:v>2776</x:v>
      </x:c>
      <x:c r="E180" s="24" t="n">
        <x:v>2781.2</x:v>
      </x:c>
      <x:c r="F180" s="24" t="n">
        <x:v>2749.2</x:v>
      </x:c>
      <x:c r="G180" s="24" t="n">
        <x:v>2754.4</x:v>
      </x:c>
      <x:c r="H180" s="24"/>
      <x:c r="I180" s="25" t="n">
        <x:v>-0.00813827871804107</x:v>
      </x:c>
      <x:c r="J180" s="24" t="n">
        <x:f>ROUND(E180-F180,1)</x:f>
        <x:v>32</x:v>
      </x:c>
      <x:c r="K180" s="23" t="str">
        <x:v>IH2509</x:v>
      </x:c>
    </x:row>
    <x:row r="181">
      <x:c r="A181" s="23" t="n">
        <x:v>2</x:v>
      </x:c>
      <x:c r="B181" s="23" t="str">
        <x:v>周一</x:v>
      </x:c>
      <x:c r="C181" s="23" t="str">
        <x:v>8月4日</x:v>
      </x:c>
      <x:c r="D181" s="24" t="n">
        <x:v>2750</x:v>
      </x:c>
      <x:c r="E181" s="24" t="n">
        <x:v>2770.8</x:v>
      </x:c>
      <x:c r="F181" s="24" t="n">
        <x:v>2750</x:v>
      </x:c>
      <x:c r="G181" s="24" t="n">
        <x:v>2770.4</x:v>
      </x:c>
      <x:c r="H181" s="24"/>
      <x:c r="I181" s="25" t="n">
        <x:v>0.005808887598024892</x:v>
      </x:c>
      <x:c r="J181" s="24" t="n">
        <x:f>ROUND(E181-F181,1)</x:f>
        <x:v>20.8</x:v>
      </x:c>
      <x:c r="K181" s="23" t="str">
        <x:v>IH2509</x:v>
      </x:c>
    </x:row>
    <x:row r="182">
      <x:c r="A182" s="23" t="n">
        <x:v>3</x:v>
      </x:c>
      <x:c r="B182" s="23" t="str">
        <x:v>周二</x:v>
      </x:c>
      <x:c r="C182" s="23" t="str">
        <x:v>8月5日</x:v>
      </x:c>
      <x:c r="D182" s="24" t="n">
        <x:v>2772</x:v>
      </x:c>
      <x:c r="E182" s="24" t="n">
        <x:v>2795</x:v>
      </x:c>
      <x:c r="F182" s="24" t="n">
        <x:v>2767</x:v>
      </x:c>
      <x:c r="G182" s="24" t="n">
        <x:v>2791</x:v>
      </x:c>
      <x:c r="H182" s="24"/>
      <x:c r="I182" s="25" t="n">
        <x:v>0.007435749350274357</x:v>
      </x:c>
      <x:c r="J182" s="24" t="n">
        <x:f>ROUND(E182-F182,1)</x:f>
        <x:v>28</x:v>
      </x:c>
      <x:c r="K182" s="23" t="str">
        <x:v>IH2509</x:v>
      </x:c>
    </x:row>
    <x:row r="183">
      <x:c r="A183" s="23" t="n">
        <x:v>4</x:v>
      </x:c>
      <x:c r="B183" s="23" t="str">
        <x:v>周三</x:v>
      </x:c>
      <x:c r="C183" s="23" t="str">
        <x:v>8月6日</x:v>
      </x:c>
      <x:c r="D183" s="24" t="n">
        <x:v>2790</x:v>
      </x:c>
      <x:c r="E183" s="24" t="n">
        <x:v>2802.6</x:v>
      </x:c>
      <x:c r="F183" s="24" t="n">
        <x:v>2786</x:v>
      </x:c>
      <x:c r="G183" s="24" t="n">
        <x:v>2796.2</x:v>
      </x:c>
      <x:c r="H183" s="24"/>
      <x:c r="I183" s="25" t="n">
        <x:v>0.0018631314940880106</x:v>
      </x:c>
      <x:c r="J183" s="24" t="n">
        <x:f>ROUND(E183-F183,1)</x:f>
        <x:v>16.6</x:v>
      </x:c>
      <x:c r="K183" s="23" t="str">
        <x:v>IH2509</x:v>
      </x:c>
    </x:row>
    <x:row r="184">
      <x:c r="A184" s="23" t="n">
        <x:v>5</x:v>
      </x:c>
      <x:c r="B184" s="23" t="str">
        <x:v>周四</x:v>
      </x:c>
      <x:c r="C184" s="23" t="str">
        <x:v>8月7日</x:v>
      </x:c>
      <x:c r="D184" s="24" t="n">
        <x:v>2798</x:v>
      </x:c>
      <x:c r="E184" s="24" t="n">
        <x:v>2810</x:v>
      </x:c>
      <x:c r="F184" s="24" t="n">
        <x:v>2785</x:v>
      </x:c>
      <x:c r="G184" s="24" t="n">
        <x:v>2797.8</x:v>
      </x:c>
      <x:c r="H184" s="24"/>
      <x:c r="I184" s="25" t="n">
        <x:v>0.0005722051355412372</x:v>
      </x:c>
      <x:c r="J184" s="24" t="n">
        <x:f>ROUND(E184-F184,1)</x:f>
        <x:v>25</x:v>
      </x:c>
      <x:c r="K184" s="23" t="str">
        <x:v>IH2509</x:v>
      </x:c>
    </x:row>
    <x:row r="185">
      <x:c r="A185" s="23" t="n">
        <x:v>6</x:v>
      </x:c>
      <x:c r="B185" s="23" t="str">
        <x:v>周五</x:v>
      </x:c>
      <x:c r="C185" s="23" t="str">
        <x:v>8月8日</x:v>
      </x:c>
      <x:c r="D185" s="24" t="n">
        <x:v>2795.2</x:v>
      </x:c>
      <x:c r="E185" s="24" t="n">
        <x:v>2800.6</x:v>
      </x:c>
      <x:c r="F185" s="24" t="n">
        <x:v>2782.4</x:v>
      </x:c>
      <x:c r="G185" s="24" t="n">
        <x:v>2785.4</x:v>
      </x:c>
      <x:c r="H185" s="24"/>
      <x:c r="I185" s="25" t="n">
        <x:v>-0.004432053756523002</x:v>
      </x:c>
      <x:c r="J185" s="24" t="n">
        <x:f>ROUND(E185-F185,1)</x:f>
        <x:v>18.2</x:v>
      </x:c>
      <x:c r="K185" s="23" t="str">
        <x:v>IH2509</x:v>
      </x:c>
    </x:row>
    <x:row r="186">
      <x:c r="A186" s="23" t="n">
        <x:v>7</x:v>
      </x:c>
      <x:c r="B186" s="23" t="str">
        <x:v>周一</x:v>
      </x:c>
      <x:c r="C186" s="23" t="str">
        <x:v>8月11日</x:v>
      </x:c>
      <x:c r="D186" s="24" t="n">
        <x:v>2789</x:v>
      </x:c>
      <x:c r="E186" s="24" t="n">
        <x:v>2802.8</x:v>
      </x:c>
      <x:c r="F186" s="24" t="n">
        <x:v>2784</x:v>
      </x:c>
      <x:c r="G186" s="24" t="n">
        <x:v>2789.4</x:v>
      </x:c>
      <x:c r="H186" s="24"/>
      <x:c r="I186" s="25" t="n">
        <x:v>0.0014360594528612936</x:v>
      </x:c>
      <x:c r="J186" s="24" t="n">
        <x:f>ROUND(E186-F186,1)</x:f>
        <x:v>18.8</x:v>
      </x:c>
      <x:c r="K186" s="23" t="str">
        <x:v>IH2509</x:v>
      </x:c>
    </x:row>
    <x:row r="187">
      <x:c r="A187" s="23" t="n">
        <x:v>8</x:v>
      </x:c>
      <x:c r="B187" s="23" t="str">
        <x:v>周二</x:v>
      </x:c>
      <x:c r="C187" s="23" t="str">
        <x:v>8月12日</x:v>
      </x:c>
      <x:c r="D187" s="24" t="n">
        <x:v>2790.4</x:v>
      </x:c>
      <x:c r="E187" s="24" t="n">
        <x:v>2819</x:v>
      </x:c>
      <x:c r="F187" s="24" t="n">
        <x:v>2790.4</x:v>
      </x:c>
      <x:c r="G187" s="24" t="n">
        <x:v>2809.6</x:v>
      </x:c>
      <x:c r="H187" s="24"/>
      <x:c r="I187" s="25" t="n">
        <x:v>0.007241700724170075</x:v>
      </x:c>
      <x:c r="J187" s="24" t="n">
        <x:f>ROUND(E187-F187,1)</x:f>
        <x:v>28.6</x:v>
      </x:c>
      <x:c r="K187" s="23" t="str">
        <x:v>IH2509</x:v>
      </x:c>
    </x:row>
    <x:row r="188">
      <x:c r="A188" s="23" t="n">
        <x:v>9</x:v>
      </x:c>
      <x:c r="B188" s="23" t="str">
        <x:v>周三</x:v>
      </x:c>
      <x:c r="C188" s="23" t="str">
        <x:v>8月13日</x:v>
      </x:c>
      <x:c r="D188" s="24" t="n">
        <x:v>2813</x:v>
      </x:c>
      <x:c r="E188" s="24" t="n">
        <x:v>2832.4</x:v>
      </x:c>
      <x:c r="F188" s="24" t="n">
        <x:v>2808.4</x:v>
      </x:c>
      <x:c r="G188" s="24" t="n">
        <x:v>2818.8</x:v>
      </x:c>
      <x:c r="H188" s="24"/>
      <x:c r="I188" s="25" t="n">
        <x:v>0.003274487471526255</x:v>
      </x:c>
      <x:c r="J188" s="24" t="n">
        <x:f>ROUND(E188-F188,1)</x:f>
        <x:v>24</x:v>
      </x:c>
      <x:c r="K188" s="23" t="str">
        <x:v>IH2509</x:v>
      </x:c>
    </x:row>
    <x:row r="189">
      <x:c r="A189" s="23" t="n">
        <x:v>10</x:v>
      </x:c>
      <x:c r="B189" s="23" t="str">
        <x:v>周四</x:v>
      </x:c>
      <x:c r="C189" s="23" t="str">
        <x:v>8月14日</x:v>
      </x:c>
      <x:c r="D189" s="24" t="n">
        <x:v>2823</x:v>
      </x:c>
      <x:c r="E189" s="24" t="n">
        <x:v>2858.8</x:v>
      </x:c>
      <x:c r="F189" s="24" t="n">
        <x:v>2822.8</x:v>
      </x:c>
      <x:c r="G189" s="24" t="n">
        <x:v>2829.6</x:v>
      </x:c>
      <x:c r="H189" s="24"/>
      <x:c r="I189" s="25" t="n">
        <x:v>0.003831417624520883</x:v>
      </x:c>
      <x:c r="J189" s="24" t="n">
        <x:f>ROUND(E189-F189,1)</x:f>
        <x:v>36</x:v>
      </x:c>
      <x:c r="K189" s="23" t="str">
        <x:v>IH2509</x:v>
      </x:c>
    </x:row>
    <x:row r="190">
      <x:c r="A190" s="33" t="n">
        <x:v>11</x:v>
      </x:c>
      <x:c r="B190" s="33" t="str">
        <x:v>周五</x:v>
      </x:c>
      <x:c r="C190" s="33" t="str">
        <x:v>8月15日</x:v>
      </x:c>
      <x:c r="D190" s="34" t="n">
        <x:v>2825.2</x:v>
      </x:c>
      <x:c r="E190" s="34" t="n">
        <x:v>2855</x:v>
      </x:c>
      <x:c r="F190" s="34" t="n">
        <x:v>2815</x:v>
      </x:c>
      <x:c r="G190" s="34" t="n">
        <x:v>2846.4</x:v>
      </x:c>
      <x:c r="H190" s="34"/>
      <x:c r="I190" s="35" t="n">
        <x:v>0.00593723494486853</x:v>
      </x:c>
      <x:c r="J190" s="34" t="n">
        <x:f>ROUND(E190-F190,1)</x:f>
        <x:v>40</x:v>
      </x:c>
      <x:c r="K190" s="33" t="str">
        <x:v>IH2509</x:v>
      </x:c>
    </x:row>
    <x:row r="191">
      <x:c r="A191" s="23" t="n">
        <x:v>12</x:v>
      </x:c>
      <x:c r="B191" s="23" t="str">
        <x:v>周一</x:v>
      </x:c>
      <x:c r="C191" s="23" t="str">
        <x:v>8月18日</x:v>
      </x:c>
      <x:c r="D191" s="24" t="n">
        <x:v>2848</x:v>
      </x:c>
      <x:c r="E191" s="24" t="n">
        <x:v>2869.4</x:v>
      </x:c>
      <x:c r="F191" s="24" t="n">
        <x:v>2833.6</x:v>
      </x:c>
      <x:c r="G191" s="24" t="n">
        <x:v>2848.4</x:v>
      </x:c>
      <x:c r="H191" s="24"/>
      <x:c r="I191" s="25" t="n">
        <x:v>0.0007026419336706446</x:v>
      </x:c>
      <x:c r="J191" s="24" t="n">
        <x:f>ROUND(E191-F191,1)</x:f>
        <x:v>35.8</x:v>
      </x:c>
      <x:c r="K191" s="23" t="str">
        <x:v>IH2509</x:v>
      </x:c>
    </x:row>
    <x:row r="192">
      <x:c r="A192" s="23" t="n">
        <x:v>13</x:v>
      </x:c>
      <x:c r="B192" s="23" t="str">
        <x:v>周二</x:v>
      </x:c>
      <x:c r="C192" s="23" t="str">
        <x:v>8月19日</x:v>
      </x:c>
      <x:c r="D192" s="24" t="n">
        <x:v>2850</x:v>
      </x:c>
      <x:c r="E192" s="24" t="n">
        <x:v>2863.8</x:v>
      </x:c>
      <x:c r="F192" s="24" t="n">
        <x:v>2812.6</x:v>
      </x:c>
      <x:c r="G192" s="24" t="n">
        <x:v>2815.4</x:v>
      </x:c>
      <x:c r="H192" s="24"/>
      <x:c r="I192" s="25" t="n">
        <x:v>-0.011585451481533449</x:v>
      </x:c>
      <x:c r="J192" s="24" t="n">
        <x:f>ROUND(E192-F192,1)</x:f>
        <x:v>51.2</x:v>
      </x:c>
      <x:c r="K192" s="23" t="str">
        <x:v>IH2509</x:v>
      </x:c>
    </x:row>
    <x:row r="193">
      <x:c r="A193" s="23" t="n">
        <x:v>14</x:v>
      </x:c>
      <x:c r="B193" s="23" t="str">
        <x:v>周三</x:v>
      </x:c>
      <x:c r="C193" s="23" t="str">
        <x:v>8月20日</x:v>
      </x:c>
      <x:c r="D193" s="24" t="n">
        <x:v>2810</x:v>
      </x:c>
      <x:c r="E193" s="24" t="n">
        <x:v>2853.2</x:v>
      </x:c>
      <x:c r="F193" s="24" t="n">
        <x:v>2796</x:v>
      </x:c>
      <x:c r="G193" s="24" t="n">
        <x:v>2851.2</x:v>
      </x:c>
      <x:c r="H193" s="24"/>
      <x:c r="I193" s="25" t="n">
        <x:v>0.01271577750941244</x:v>
      </x:c>
      <x:c r="J193" s="24" t="n">
        <x:f>ROUND(E193-F193,1)</x:f>
        <x:v>57.2</x:v>
      </x:c>
      <x:c r="K193" s="23" t="str">
        <x:v>IH2509</x:v>
      </x:c>
    </x:row>
    <x:row r="194">
      <x:c r="A194" s="23" t="n">
        <x:v>15</x:v>
      </x:c>
      <x:c r="B194" s="23" t="str">
        <x:v>周四</x:v>
      </x:c>
      <x:c r="C194" s="23" t="str">
        <x:v>8月21日</x:v>
      </x:c>
      <x:c r="D194" s="24" t="n">
        <x:v>2858</x:v>
      </x:c>
      <x:c r="E194" s="24" t="n">
        <x:v>2873.8</x:v>
      </x:c>
      <x:c r="F194" s="24" t="n">
        <x:v>2852.8</x:v>
      </x:c>
      <x:c r="G194" s="24" t="n">
        <x:v>2865.4</x:v>
      </x:c>
      <x:c r="H194" s="24"/>
      <x:c r="I194" s="25" t="n">
        <x:v>0.004980359147025881</x:v>
      </x:c>
      <x:c r="J194" s="24" t="n">
        <x:f>ROUND(E194-F194,1)</x:f>
        <x:v>21</x:v>
      </x:c>
      <x:c r="K194" s="23" t="str">
        <x:v>IH2509</x:v>
      </x:c>
    </x:row>
    <x:row r="195">
      <x:c r="A195" s="23" t="n">
        <x:v>16</x:v>
      </x:c>
      <x:c r="B195" s="23" t="str">
        <x:v>周五</x:v>
      </x:c>
      <x:c r="C195" s="23" t="str">
        <x:v>8月22日</x:v>
      </x:c>
      <x:c r="D195" s="24" t="n">
        <x:v>2869</x:v>
      </x:c>
      <x:c r="E195" s="24" t="n">
        <x:v>2942</x:v>
      </x:c>
      <x:c r="F195" s="24" t="n">
        <x:v>2869</x:v>
      </x:c>
      <x:c r="G195" s="24" t="n">
        <x:v>2942</x:v>
      </x:c>
      <x:c r="H195" s="24"/>
      <x:c r="I195" s="25" t="n">
        <x:v>0.0267327423745376</x:v>
      </x:c>
      <x:c r="J195" s="29" t="n">
        <x:f>ROUND(E195-F195,1)</x:f>
        <x:v>73</x:v>
      </x:c>
      <x:c r="K195" s="23" t="str">
        <x:v>IH2509</x:v>
      </x:c>
    </x:row>
    <x:row r="196">
      <x:c r="A196" s="23" t="n">
        <x:v>17</x:v>
      </x:c>
      <x:c r="B196" s="23" t="str">
        <x:v>周一</x:v>
      </x:c>
      <x:c r="C196" s="23" t="str">
        <x:v>8月25日</x:v>
      </x:c>
      <x:c r="D196" s="24" t="n">
        <x:v>2959</x:v>
      </x:c>
      <x:c r="E196" s="24" t="n">
        <x:v>2999</x:v>
      </x:c>
      <x:c r="F196" s="24" t="n">
        <x:v>2947</x:v>
      </x:c>
      <x:c r="G196" s="24" t="n">
        <x:v>2992</x:v>
      </x:c>
      <x:c r="H196" s="24"/>
      <x:c r="I196" s="25" t="n">
        <x:v>0.016995241332427025</x:v>
      </x:c>
      <x:c r="J196" s="24" t="n">
        <x:f>ROUND(E196-F196,1)</x:f>
        <x:v>52</x:v>
      </x:c>
      <x:c r="K196" s="23" t="str">
        <x:v>IH2509</x:v>
      </x:c>
    </x:row>
    <x:row r="197">
      <x:c r="A197" s="23" t="n">
        <x:v>18</x:v>
      </x:c>
      <x:c r="B197" s="23" t="str">
        <x:v>周二</x:v>
      </x:c>
      <x:c r="C197" s="23" t="str">
        <x:v>8月26日</x:v>
      </x:c>
      <x:c r="D197" s="24" t="n">
        <x:v>2982</x:v>
      </x:c>
      <x:c r="E197" s="24" t="n">
        <x:v>2989.8</x:v>
      </x:c>
      <x:c r="F197" s="24" t="n">
        <x:v>2965</x:v>
      </x:c>
      <x:c r="G197" s="24" t="n">
        <x:v>2970.8</x:v>
      </x:c>
      <x:c r="H197" s="24"/>
      <x:c r="I197" s="25" t="n">
        <x:v>-0.007085561497326087</x:v>
      </x:c>
      <x:c r="J197" s="24" t="n">
        <x:f>ROUND(E197-F197,1)</x:f>
        <x:v>24.8</x:v>
      </x:c>
      <x:c r="K197" s="23" t="str">
        <x:v>IH2509</x:v>
      </x:c>
    </x:row>
    <x:row r="198">
      <x:c r="A198" s="23" t="n">
        <x:v>19</x:v>
      </x:c>
      <x:c r="B198" s="23" t="str">
        <x:v>周三</x:v>
      </x:c>
      <x:c r="C198" s="23" t="str">
        <x:v>8月27日</x:v>
      </x:c>
      <x:c r="D198" s="24" t="n">
        <x:v>2978.2</x:v>
      </x:c>
      <x:c r="E198" s="24" t="n">
        <x:v>2985.6</x:v>
      </x:c>
      <x:c r="F198" s="24" t="n">
        <x:v>2917</x:v>
      </x:c>
      <x:c r="G198" s="24" t="n">
        <x:v>2920.2</x:v>
      </x:c>
      <x:c r="H198" s="24"/>
      <x:c r="I198" s="25" t="n">
        <x:v>-0.017032449171940356</x:v>
      </x:c>
      <x:c r="J198" s="29" t="n">
        <x:f>ROUND(E198-F198,1)</x:f>
        <x:v>68.6</x:v>
      </x:c>
      <x:c r="K198" s="23" t="str">
        <x:v>IH2509</x:v>
      </x:c>
    </x:row>
    <x:row r="199">
      <x:c r="A199" s="23" t="n">
        <x:v>20</x:v>
      </x:c>
      <x:c r="B199" s="23" t="str">
        <x:v>周四</x:v>
      </x:c>
      <x:c r="C199" s="23" t="str">
        <x:v>8月28日</x:v>
      </x:c>
      <x:c r="D199" s="24" t="n">
        <x:v>2922</x:v>
      </x:c>
      <x:c r="E199" s="24" t="n">
        <x:v>2963.4</x:v>
      </x:c>
      <x:c r="F199" s="24" t="n">
        <x:v>2905.8</x:v>
      </x:c>
      <x:c r="G199" s="24" t="n">
        <x:v>2959.8</x:v>
      </x:c>
      <x:c r="H199" s="24"/>
      <x:c r="I199" s="25" t="n">
        <x:v>0.013560715019519387</x:v>
      </x:c>
      <x:c r="J199" s="24" t="n">
        <x:f>ROUND(E199-F199,1)</x:f>
        <x:v>57.6</x:v>
      </x:c>
      <x:c r="K199" s="23" t="str">
        <x:v>IH2509</x:v>
      </x:c>
    </x:row>
    <x:row r="200">
      <x:c r="A200" s="23" t="n">
        <x:v>21</x:v>
      </x:c>
      <x:c r="B200" s="23" t="str">
        <x:v>周五</x:v>
      </x:c>
      <x:c r="C200" s="23" t="str">
        <x:v>8月29日</x:v>
      </x:c>
      <x:c r="D200" s="24" t="n">
        <x:v>2952.8</x:v>
      </x:c>
      <x:c r="E200" s="24" t="n">
        <x:v>2990.6</x:v>
      </x:c>
      <x:c r="F200" s="24" t="n">
        <x:v>2952</x:v>
      </x:c>
      <x:c r="G200" s="24" t="n">
        <x:v>2980</x:v>
      </x:c>
      <x:c r="H200" s="24"/>
      <x:c r="I200" s="25" t="n">
        <x:v>0.0068247854584768675</x:v>
      </x:c>
      <x:c r="J200" s="24" t="n">
        <x:f>ROUND(E200-F200,1)</x:f>
        <x:v>38.6</x:v>
      </x:c>
      <x:c r="K200" s="23" t="str">
        <x:v>IH2509</x:v>
      </x:c>
    </x:row>
    <x:row r="201">
      <x:c r="A201" s="38" t="str">
        <x:v>合计</x:v>
      </x:c>
      <x:c r="B201" s="37" t="n">
        <x:v>21</x:v>
      </x:c>
      <x:c r="C201" s="37"/>
      <x:c r="D201" s="37"/>
      <x:c r="E201" s="37"/>
      <x:c r="F201" s="37"/>
      <x:c r="G201" s="37"/>
      <x:c r="H201" s="37"/>
      <x:c r="I201" s="37"/>
      <x:c r="J201" s="39" t="n">
        <x:f>ROUND(SUM(J180:J200),1)</x:f>
        <x:v>767.8</x:v>
      </x:c>
      <x:c r="K201" s="37"/>
    </x:row>
    <x:row r="202">
      <x:c r="A202" s="38" t="str">
        <x:v>均值</x:v>
      </x:c>
      <x:c r="B202" s="37"/>
      <x:c r="C202" s="37"/>
      <x:c r="D202" s="37"/>
      <x:c r="E202" s="37"/>
      <x:c r="F202" s="37"/>
      <x:c r="G202" s="37"/>
      <x:c r="H202" s="37"/>
      <x:c r="I202" s="37"/>
      <x:c r="J202" s="41" t="n">
        <x:f>ROUND(IFERROR(AVERAGE(J180:J200),0),1)</x:f>
        <x:v>36.6</x:v>
      </x:c>
      <x:c r="K202" s="37"/>
    </x:row>
    <x:row r="204">
      <x:c r="A204" s="17" t="str">
        <x:v>9月</x:v>
      </x:c>
      <x:c r="B204" s="17"/>
      <x:c r="C204" s="17"/>
      <x:c r="D204" s="17"/>
      <x:c r="E204" s="17"/>
      <x:c r="F204" s="17"/>
      <x:c r="G204" s="17"/>
      <x:c r="H204" s="17"/>
      <x:c r="I204" s="17"/>
      <x:c r="J204" s="17"/>
      <x:c r="K204" s="17"/>
    </x:row>
    <x:row r="205">
      <x:c r="A205" s="20" t="str">
        <x:v>序号</x:v>
      </x:c>
      <x:c r="B205" s="20" t="str">
        <x:v>星期</x:v>
      </x:c>
      <x:c r="C205" s="20" t="str">
        <x:v>日期</x:v>
      </x:c>
      <x:c r="D205" s="20" t="str">
        <x:v>开盘</x:v>
      </x:c>
      <x:c r="E205" s="20" t="str">
        <x:v>高点</x:v>
      </x:c>
      <x:c r="F205" s="20" t="str">
        <x:v>低点</x:v>
      </x:c>
      <x:c r="G205" s="20" t="str">
        <x:v>收盘</x:v>
      </x:c>
      <x:c r="H205" s="20" t="str">
        <x:v>涨跌点数</x:v>
      </x:c>
      <x:c r="I205" s="20" t="str">
        <x:v>涨幅</x:v>
      </x:c>
      <x:c r="J205" s="20" t="str">
        <x:v>振幅</x:v>
      </x:c>
      <x:c r="K205" s="20" t="str">
        <x:v>标的</x:v>
      </x:c>
    </x:row>
    <x:row r="206">
      <x:c r="A206" s="23" t="n">
        <x:v>1</x:v>
      </x:c>
      <x:c r="B206" s="23" t="str">
        <x:v>周一</x:v>
      </x:c>
      <x:c r="C206" s="23" t="str">
        <x:v>9月1日</x:v>
      </x:c>
      <x:c r="D206" s="24" t="n">
        <x:v>2988.8</x:v>
      </x:c>
      <x:c r="E206" s="24" t="n">
        <x:v>2996</x:v>
      </x:c>
      <x:c r="F206" s="24" t="n">
        <x:v>2962.4</x:v>
      </x:c>
      <x:c r="G206" s="24" t="n">
        <x:v>2979.6</x:v>
      </x:c>
      <x:c r="H206" s="24"/>
      <x:c r="I206" s="25" t="n">
        <x:v>-0.0001342281879195273</x:v>
      </x:c>
      <x:c r="J206" s="24" t="n">
        <x:f>ROUND(E206-F206,1)</x:f>
        <x:v>33.6</x:v>
      </x:c>
      <x:c r="K206" s="23" t="str">
        <x:v>IH2509</x:v>
      </x:c>
    </x:row>
    <x:row r="207">
      <x:c r="A207" s="23" t="n">
        <x:v>2</x:v>
      </x:c>
      <x:c r="B207" s="23" t="str">
        <x:v>周二</x:v>
      </x:c>
      <x:c r="C207" s="23" t="str">
        <x:v>9月2日</x:v>
      </x:c>
      <x:c r="D207" s="24" t="n">
        <x:v>2984</x:v>
      </x:c>
      <x:c r="E207" s="24" t="n">
        <x:v>3007.6</x:v>
      </x:c>
      <x:c r="F207" s="24" t="n">
        <x:v>2965.6</x:v>
      </x:c>
      <x:c r="G207" s="24" t="n">
        <x:v>2992.8</x:v>
      </x:c>
      <x:c r="H207" s="24"/>
      <x:c r="I207" s="25" t="n">
        <x:v>0.004430124848973094</x:v>
      </x:c>
      <x:c r="J207" s="24" t="n">
        <x:f>ROUND(E207-F207,1)</x:f>
        <x:v>42</x:v>
      </x:c>
      <x:c r="K207" s="23" t="str">
        <x:v>IH2509</x:v>
      </x:c>
    </x:row>
    <x:row r="208">
      <x:c r="A208" s="23" t="n">
        <x:v>3</x:v>
      </x:c>
      <x:c r="B208" s="23" t="str">
        <x:v>周三</x:v>
      </x:c>
      <x:c r="C208" s="23" t="str">
        <x:v>9月3日</x:v>
      </x:c>
      <x:c r="D208" s="24" t="n">
        <x:v>3000</x:v>
      </x:c>
      <x:c r="E208" s="24" t="n">
        <x:v>3005.2</x:v>
      </x:c>
      <x:c r="F208" s="24" t="n">
        <x:v>2930.2</x:v>
      </x:c>
      <x:c r="G208" s="24" t="n">
        <x:v>2949</x:v>
      </x:c>
      <x:c r="H208" s="24"/>
      <x:c r="I208" s="25" t="n">
        <x:v>-0.014635124298316038</x:v>
      </x:c>
      <x:c r="J208" s="29" t="n">
        <x:f>ROUND(E208-F208,1)</x:f>
        <x:v>75</x:v>
      </x:c>
      <x:c r="K208" s="23" t="str">
        <x:v>IH2509</x:v>
      </x:c>
    </x:row>
    <x:row r="209">
      <x:c r="A209" s="23" t="n">
        <x:v>4</x:v>
      </x:c>
      <x:c r="B209" s="23" t="str">
        <x:v>周四</x:v>
      </x:c>
      <x:c r="C209" s="23" t="str">
        <x:v>9月4日</x:v>
      </x:c>
      <x:c r="D209" s="24" t="n">
        <x:v>2948.6</x:v>
      </x:c>
      <x:c r="E209" s="24" t="n">
        <x:v>2953</x:v>
      </x:c>
      <x:c r="F209" s="24" t="n">
        <x:v>2872</x:v>
      </x:c>
      <x:c r="G209" s="24" t="n">
        <x:v>2899.8</x:v>
      </x:c>
      <x:c r="H209" s="24"/>
      <x:c r="I209" s="25" t="n">
        <x:v>-0.016683621566632723</x:v>
      </x:c>
      <x:c r="J209" s="29" t="n">
        <x:f>ROUND(E209-F209,1)</x:f>
        <x:v>81</x:v>
      </x:c>
      <x:c r="K209" s="23" t="str">
        <x:v>IH2509</x:v>
      </x:c>
    </x:row>
    <x:row r="210">
      <x:c r="A210" s="23" t="n">
        <x:v>5</x:v>
      </x:c>
      <x:c r="B210" s="23" t="str">
        <x:v>周五</x:v>
      </x:c>
      <x:c r="C210" s="23" t="str">
        <x:v>9月5日</x:v>
      </x:c>
      <x:c r="D210" s="24" t="n">
        <x:v>2904.8</x:v>
      </x:c>
      <x:c r="E210" s="24" t="n">
        <x:v>2949.6</x:v>
      </x:c>
      <x:c r="F210" s="24" t="n">
        <x:v>2895.2</x:v>
      </x:c>
      <x:c r="G210" s="24" t="n">
        <x:v>2940.8</x:v>
      </x:c>
      <x:c r="H210" s="24"/>
      <x:c r="I210" s="25" t="n">
        <x:v>0.014138906131457407</x:v>
      </x:c>
      <x:c r="J210" s="24" t="n">
        <x:f>ROUND(E210-F210,1)</x:f>
        <x:v>54.4</x:v>
      </x:c>
      <x:c r="K210" s="23" t="str">
        <x:v>IH2509</x:v>
      </x:c>
    </x:row>
    <x:row r="211">
      <x:c r="A211" s="23" t="n">
        <x:v>6</x:v>
      </x:c>
      <x:c r="B211" s="23" t="str">
        <x:v>周一</x:v>
      </x:c>
      <x:c r="C211" s="23" t="str">
        <x:v>9月8日</x:v>
      </x:c>
      <x:c r="D211" s="24" t="n">
        <x:v>2941</x:v>
      </x:c>
      <x:c r="E211" s="24" t="n">
        <x:v>2952.8</x:v>
      </x:c>
      <x:c r="F211" s="24" t="n">
        <x:v>2920.6</x:v>
      </x:c>
      <x:c r="G211" s="24" t="n">
        <x:v>2936.6</x:v>
      </x:c>
      <x:c r="H211" s="24"/>
      <x:c r="I211" s="25" t="n">
        <x:v>-0.0014281828073994252</x:v>
      </x:c>
      <x:c r="J211" s="24" t="n">
        <x:f>ROUND(E211-F211,1)</x:f>
        <x:v>32.2</x:v>
      </x:c>
      <x:c r="K211" s="23" t="str">
        <x:v>IH2509</x:v>
      </x:c>
    </x:row>
    <x:row r="212">
      <x:c r="A212" s="23" t="n">
        <x:v>7</x:v>
      </x:c>
      <x:c r="B212" s="23" t="str">
        <x:v>周二</x:v>
      </x:c>
      <x:c r="C212" s="23" t="str">
        <x:v>9月9日</x:v>
      </x:c>
      <x:c r="D212" s="24" t="n">
        <x:v>2930.4</x:v>
      </x:c>
      <x:c r="E212" s="24" t="n">
        <x:v>2947.8</x:v>
      </x:c>
      <x:c r="F212" s="24" t="n">
        <x:v>2911</x:v>
      </x:c>
      <x:c r="G212" s="24" t="n">
        <x:v>2925.4</x:v>
      </x:c>
      <x:c r="H212" s="24"/>
      <x:c r="I212" s="25" t="n">
        <x:v>-0.0038139344820540266</x:v>
      </x:c>
      <x:c r="J212" s="24" t="n">
        <x:f>ROUND(E212-F212,1)</x:f>
        <x:v>36.8</x:v>
      </x:c>
      <x:c r="K212" s="23" t="str">
        <x:v>IH2509</x:v>
      </x:c>
    </x:row>
    <x:row r="213">
      <x:c r="A213" s="23" t="n">
        <x:v>8</x:v>
      </x:c>
      <x:c r="B213" s="23" t="str">
        <x:v>周三</x:v>
      </x:c>
      <x:c r="C213" s="23" t="str">
        <x:v>9月10日</x:v>
      </x:c>
      <x:c r="D213" s="24" t="n">
        <x:v>2928</x:v>
      </x:c>
      <x:c r="E213" s="24" t="n">
        <x:v>2955.8</x:v>
      </x:c>
      <x:c r="F213" s="24" t="n">
        <x:v>2921</x:v>
      </x:c>
      <x:c r="G213" s="24" t="n">
        <x:v>2937.8</x:v>
      </x:c>
      <x:c r="H213" s="24"/>
      <x:c r="I213" s="25" t="n">
        <x:v>0.004238736583031422</x:v>
      </x:c>
      <x:c r="J213" s="24" t="n">
        <x:f>ROUND(E213-F213,1)</x:f>
        <x:v>34.8</x:v>
      </x:c>
      <x:c r="K213" s="23" t="str">
        <x:v>IH2509</x:v>
      </x:c>
    </x:row>
    <x:row r="214">
      <x:c r="A214" s="23" t="n">
        <x:v>9</x:v>
      </x:c>
      <x:c r="B214" s="23" t="str">
        <x:v>周四</x:v>
      </x:c>
      <x:c r="C214" s="23" t="str">
        <x:v>9月11日</x:v>
      </x:c>
      <x:c r="D214" s="24" t="n">
        <x:v>2927</x:v>
      </x:c>
      <x:c r="E214" s="24" t="n">
        <x:v>2990.4</x:v>
      </x:c>
      <x:c r="F214" s="24" t="n">
        <x:v>2912.6</x:v>
      </x:c>
      <x:c r="G214" s="24" t="n">
        <x:v>2990.2</x:v>
      </x:c>
      <x:c r="H214" s="24"/>
      <x:c r="I214" s="25" t="n">
        <x:v>0.01783647627476337</x:v>
      </x:c>
      <x:c r="J214" s="29" t="n">
        <x:f>ROUND(E214-F214,1)</x:f>
        <x:v>77.8</x:v>
      </x:c>
      <x:c r="K214" s="23" t="str">
        <x:v>IH2509</x:v>
      </x:c>
    </x:row>
    <x:row r="215">
      <x:c r="A215" s="23" t="n">
        <x:v>10</x:v>
      </x:c>
      <x:c r="B215" s="23" t="str">
        <x:v>周五</x:v>
      </x:c>
      <x:c r="C215" s="23" t="str">
        <x:v>9月12日</x:v>
      </x:c>
      <x:c r="D215" s="24" t="n">
        <x:v>2988.6</x:v>
      </x:c>
      <x:c r="E215" s="24" t="n">
        <x:v>3008</x:v>
      </x:c>
      <x:c r="F215" s="24" t="n">
        <x:v>2963.4</x:v>
      </x:c>
      <x:c r="G215" s="24" t="n">
        <x:v>2968.6</x:v>
      </x:c>
      <x:c r="H215" s="24"/>
      <x:c r="I215" s="25" t="n">
        <x:v>-0.007223597083807043</x:v>
      </x:c>
      <x:c r="J215" s="24" t="n">
        <x:f>ROUND(E215-F215,1)</x:f>
        <x:v>44.6</x:v>
      </x:c>
      <x:c r="K215" s="23" t="str">
        <x:v>IH2509</x:v>
      </x:c>
    </x:row>
    <x:row r="216">
      <x:c r="A216" s="23" t="n">
        <x:v>11</x:v>
      </x:c>
      <x:c r="B216" s="23" t="str">
        <x:v>周一</x:v>
      </x:c>
      <x:c r="C216" s="23" t="str">
        <x:v>9月15日</x:v>
      </x:c>
      <x:c r="D216" s="24" t="n">
        <x:v>2972</x:v>
      </x:c>
      <x:c r="E216" s="24" t="n">
        <x:v>2984</x:v>
      </x:c>
      <x:c r="F216" s="24" t="n">
        <x:v>2955.6</x:v>
      </x:c>
      <x:c r="G216" s="24" t="n">
        <x:v>2962.4</x:v>
      </x:c>
      <x:c r="H216" s="24"/>
      <x:c r="I216" s="25" t="n">
        <x:v>-0.002088526578184924</x:v>
      </x:c>
      <x:c r="J216" s="24" t="n">
        <x:f>ROUND(E216-F216,1)</x:f>
        <x:v>28.4</x:v>
      </x:c>
      <x:c r="K216" s="23" t="str">
        <x:v>IH2509</x:v>
      </x:c>
    </x:row>
    <x:row r="217">
      <x:c r="A217" s="23" t="n">
        <x:v>12</x:v>
      </x:c>
      <x:c r="B217" s="23" t="str">
        <x:v>周二</x:v>
      </x:c>
      <x:c r="C217" s="23" t="str">
        <x:v>9月16日</x:v>
      </x:c>
      <x:c r="D217" s="24" t="n">
        <x:v>2968.2</x:v>
      </x:c>
      <x:c r="E217" s="24" t="n">
        <x:v>2975.8</x:v>
      </x:c>
      <x:c r="F217" s="24" t="n">
        <x:v>2942.4</x:v>
      </x:c>
      <x:c r="G217" s="24" t="n">
        <x:v>2950.6</x:v>
      </x:c>
      <x:c r="H217" s="24"/>
      <x:c r="I217" s="25" t="n">
        <x:v>-0.0036456926816095248</x:v>
      </x:c>
      <x:c r="J217" s="24" t="n">
        <x:f>ROUND(E217-F217,1)</x:f>
        <x:v>33.4</x:v>
      </x:c>
      <x:c r="K217" s="23" t="str">
        <x:v>IH2509</x:v>
      </x:c>
    </x:row>
    <x:row r="218">
      <x:c r="A218" s="23" t="n">
        <x:v>13</x:v>
      </x:c>
      <x:c r="B218" s="23" t="str">
        <x:v>周三</x:v>
      </x:c>
      <x:c r="C218" s="23" t="str">
        <x:v>9月17日</x:v>
      </x:c>
      <x:c r="D218" s="24" t="n">
        <x:v>2951.2</x:v>
      </x:c>
      <x:c r="E218" s="24" t="n">
        <x:v>2962.6</x:v>
      </x:c>
      <x:c r="F218" s="24" t="n">
        <x:v>2935</x:v>
      </x:c>
      <x:c r="G218" s="24" t="n">
        <x:v>2956.2</x:v>
      </x:c>
      <x:c r="H218" s="24"/>
      <x:c r="I218" s="25" t="n">
        <x:v>0.0014229570402495284</x:v>
      </x:c>
      <x:c r="J218" s="24" t="n">
        <x:f>ROUND(E218-F218,1)</x:f>
        <x:v>27.6</x:v>
      </x:c>
      <x:c r="K218" s="23" t="str">
        <x:v>IH2509</x:v>
      </x:c>
    </x:row>
    <x:row r="219">
      <x:c r="A219" s="23" t="n">
        <x:v>14</x:v>
      </x:c>
      <x:c r="B219" s="23" t="str">
        <x:v>周四</x:v>
      </x:c>
      <x:c r="C219" s="23" t="str">
        <x:v>9月18日</x:v>
      </x:c>
      <x:c r="D219" s="24" t="n">
        <x:v>2965.6</x:v>
      </x:c>
      <x:c r="E219" s="24" t="n">
        <x:v>2976</x:v>
      </x:c>
      <x:c r="F219" s="24" t="n">
        <x:v>2888.4</x:v>
      </x:c>
      <x:c r="G219" s="24" t="n">
        <x:v>2910.8</x:v>
      </x:c>
      <x:c r="H219" s="24"/>
      <x:c r="I219" s="25" t="n">
        <x:v>-0.014682996143176141</x:v>
      </x:c>
      <x:c r="J219" s="29" t="n">
        <x:f>ROUND(E219-F219,1)</x:f>
        <x:v>87.6</x:v>
      </x:c>
      <x:c r="K219" s="23" t="str">
        <x:v>IH2509</x:v>
      </x:c>
    </x:row>
    <x:row r="220">
      <x:c r="A220" s="33" t="n">
        <x:v>15</x:v>
      </x:c>
      <x:c r="B220" s="33" t="str">
        <x:v>周五</x:v>
      </x:c>
      <x:c r="C220" s="33" t="str">
        <x:v>9月19日</x:v>
      </x:c>
      <x:c r="D220" s="34" t="n">
        <x:v>2911.6</x:v>
      </x:c>
      <x:c r="E220" s="34" t="n">
        <x:v>2929.8</x:v>
      </x:c>
      <x:c r="F220" s="34" t="n">
        <x:v>2907</x:v>
      </x:c>
      <x:c r="G220" s="34" t="n">
        <x:v>2918.4</x:v>
      </x:c>
      <x:c r="H220" s="34"/>
      <x:c r="I220" s="35" t="n">
        <x:v>0.0003433594286499364</x:v>
      </x:c>
      <x:c r="J220" s="34" t="n">
        <x:f>ROUND(E220-F220,1)</x:f>
        <x:v>22.8</x:v>
      </x:c>
      <x:c r="K220" s="33" t="str">
        <x:v>IH2509</x:v>
      </x:c>
    </x:row>
    <x:row r="221">
      <x:c r="A221" s="23" t="n">
        <x:v>16</x:v>
      </x:c>
      <x:c r="B221" s="23" t="str">
        <x:v>周一</x:v>
      </x:c>
      <x:c r="C221" s="23" t="str">
        <x:v>9月22日</x:v>
      </x:c>
      <x:c r="D221" s="24" t="n">
        <x:v>2914.2</x:v>
      </x:c>
      <x:c r="E221" s="24" t="n">
        <x:v>2930</x:v>
      </x:c>
      <x:c r="F221" s="24" t="n">
        <x:v>2902</x:v>
      </x:c>
      <x:c r="G221" s="24" t="n">
        <x:v>2923</x:v>
      </x:c>
      <x:c r="H221" s="24"/>
      <x:c r="I221" s="25" t="n">
        <x:v>0.0032951191048260497</x:v>
      </x:c>
      <x:c r="J221" s="24" t="n">
        <x:f>ROUND(E221-F221,1)</x:f>
        <x:v>28</x:v>
      </x:c>
      <x:c r="K221" s="23" t="str">
        <x:v>IH2512</x:v>
      </x:c>
    </x:row>
    <x:row r="222">
      <x:c r="A222" s="23" t="n">
        <x:v>17</x:v>
      </x:c>
      <x:c r="B222" s="23" t="str">
        <x:v>周二</x:v>
      </x:c>
      <x:c r="C222" s="23" t="str">
        <x:v>9月23日</x:v>
      </x:c>
      <x:c r="D222" s="24" t="n">
        <x:v>2920</x:v>
      </x:c>
      <x:c r="E222" s="24" t="n">
        <x:v>2936.6</x:v>
      </x:c>
      <x:c r="F222" s="24" t="n">
        <x:v>2889</x:v>
      </x:c>
      <x:c r="G222" s="24" t="n">
        <x:v>2925</x:v>
      </x:c>
      <x:c r="H222" s="24"/>
      <x:c r="I222" s="25" t="n">
        <x:v>0.0006842285323298558</x:v>
      </x:c>
      <x:c r="J222" s="24" t="n">
        <x:f>ROUND(E222-F222,1)</x:f>
        <x:v>47.6</x:v>
      </x:c>
      <x:c r="K222" s="23" t="str">
        <x:v>IH2512</x:v>
      </x:c>
    </x:row>
    <x:row r="223">
      <x:c r="A223" s="23" t="n">
        <x:v>18</x:v>
      </x:c>
      <x:c r="B223" s="23" t="str">
        <x:v>周三</x:v>
      </x:c>
      <x:c r="C223" s="23" t="str">
        <x:v>9月24日</x:v>
      </x:c>
      <x:c r="D223" s="24" t="n">
        <x:v>2916.8</x:v>
      </x:c>
      <x:c r="E223" s="24" t="n">
        <x:v>2946</x:v>
      </x:c>
      <x:c r="F223" s="24" t="n">
        <x:v>2915.2</x:v>
      </x:c>
      <x:c r="G223" s="24" t="n">
        <x:v>2939.8</x:v>
      </x:c>
      <x:c r="H223" s="24"/>
      <x:c r="I223" s="25" t="n">
        <x:v>0.005059829059829157</x:v>
      </x:c>
      <x:c r="J223" s="24" t="n">
        <x:f>ROUND(E223-F223,1)</x:f>
        <x:v>30.8</x:v>
      </x:c>
      <x:c r="K223" s="23" t="str">
        <x:v>IH2512</x:v>
      </x:c>
    </x:row>
    <x:row r="224">
      <x:c r="A224" s="23" t="n">
        <x:v>19</x:v>
      </x:c>
      <x:c r="B224" s="23" t="str">
        <x:v>周四</x:v>
      </x:c>
      <x:c r="C224" s="23" t="str">
        <x:v>9月25日</x:v>
      </x:c>
      <x:c r="D224" s="24" t="n">
        <x:v>2941</x:v>
      </x:c>
      <x:c r="E224" s="24" t="n">
        <x:v>2965</x:v>
      </x:c>
      <x:c r="F224" s="24" t="n">
        <x:v>2940.2</x:v>
      </x:c>
      <x:c r="G224" s="24" t="n">
        <x:v>2953.6</x:v>
      </x:c>
      <x:c r="H224" s="24"/>
      <x:c r="I224" s="25" t="n">
        <x:v>0.004694196884141633</x:v>
      </x:c>
      <x:c r="J224" s="24" t="n">
        <x:f>ROUND(E224-F224,1)</x:f>
        <x:v>24.8</x:v>
      </x:c>
      <x:c r="K224" s="23" t="str">
        <x:v>IH2512</x:v>
      </x:c>
    </x:row>
    <x:row r="225">
      <x:c r="A225" s="23" t="n">
        <x:v>20</x:v>
      </x:c>
      <x:c r="B225" s="23" t="str">
        <x:v>周五</x:v>
      </x:c>
      <x:c r="C225" s="23" t="str">
        <x:v>9月26日</x:v>
      </x:c>
      <x:c r="D225" s="24" t="n">
        <x:v>2946</x:v>
      </x:c>
      <x:c r="E225" s="24" t="n">
        <x:v>2964</x:v>
      </x:c>
      <x:c r="F225" s="24" t="n">
        <x:v>2941.2</x:v>
      </x:c>
      <x:c r="G225" s="24" t="n">
        <x:v>2944.4</x:v>
      </x:c>
      <x:c r="H225" s="24"/>
      <x:c r="I225" s="25" t="n">
        <x:v>-0.003114842903575221</x:v>
      </x:c>
      <x:c r="J225" s="24" t="n">
        <x:f>ROUND(E225-F225,1)</x:f>
        <x:v>22.8</x:v>
      </x:c>
      <x:c r="K225" s="23" t="str">
        <x:v>IH2512</x:v>
      </x:c>
    </x:row>
    <x:row r="226">
      <x:c r="A226" s="23" t="n">
        <x:v>21</x:v>
      </x:c>
      <x:c r="B226" s="23" t="str">
        <x:v>周一</x:v>
      </x:c>
      <x:c r="C226" s="23" t="str">
        <x:v>9月29日</x:v>
      </x:c>
      <x:c r="D226" s="24" t="n">
        <x:v>2944.2</x:v>
      </x:c>
      <x:c r="E226" s="24" t="n">
        <x:v>3009.6</x:v>
      </x:c>
      <x:c r="F226" s="24" t="n">
        <x:v>2922.6</x:v>
      </x:c>
      <x:c r="G226" s="24" t="n">
        <x:v>2976</x:v>
      </x:c>
      <x:c r="H226" s="24"/>
      <x:c r="I226" s="25" t="n">
        <x:v>0.01073223746773544</x:v>
      </x:c>
      <x:c r="J226" s="29" t="n">
        <x:f>ROUND(E226-F226,1)</x:f>
        <x:v>87</x:v>
      </x:c>
      <x:c r="K226" s="23" t="str">
        <x:v>IH2512</x:v>
      </x:c>
    </x:row>
    <x:row r="227">
      <x:c r="A227" s="23" t="n">
        <x:v>22</x:v>
      </x:c>
      <x:c r="B227" s="23" t="str">
        <x:v>周二</x:v>
      </x:c>
      <x:c r="C227" s="23" t="str">
        <x:v>9月30日</x:v>
      </x:c>
      <x:c r="D227" s="24" t="n">
        <x:v>2984</x:v>
      </x:c>
      <x:c r="E227" s="24" t="n">
        <x:v>2993</x:v>
      </x:c>
      <x:c r="F227" s="24" t="n">
        <x:v>2977.8</x:v>
      </x:c>
      <x:c r="G227" s="24" t="n">
        <x:v>2989</x:v>
      </x:c>
      <x:c r="H227" s="24"/>
      <x:c r="I227" s="25" t="n">
        <x:v>0.004368279569892497</x:v>
      </x:c>
      <x:c r="J227" s="24" t="n">
        <x:f>ROUND(E227-F227,1)</x:f>
        <x:v>15.2</x:v>
      </x:c>
      <x:c r="K227" s="23" t="str">
        <x:v>IH2512</x:v>
      </x:c>
    </x:row>
    <x:row r="228">
      <x:c r="A228" s="38" t="str">
        <x:v>合计</x:v>
      </x:c>
      <x:c r="B228" s="37" t="n">
        <x:v>22</x:v>
      </x:c>
      <x:c r="C228" s="37"/>
      <x:c r="D228" s="37"/>
      <x:c r="E228" s="37"/>
      <x:c r="F228" s="37"/>
      <x:c r="G228" s="37"/>
      <x:c r="H228" s="37"/>
      <x:c r="I228" s="37"/>
      <x:c r="J228" s="39" t="n">
        <x:f>ROUND(SUM(J206:J227),1)</x:f>
        <x:v>968.2</x:v>
      </x:c>
      <x:c r="K228" s="37"/>
    </x:row>
    <x:row r="229">
      <x:c r="A229" s="38" t="str">
        <x:v>均值</x:v>
      </x:c>
      <x:c r="B229" s="37"/>
      <x:c r="C229" s="37"/>
      <x:c r="D229" s="37"/>
      <x:c r="E229" s="37"/>
      <x:c r="F229" s="37"/>
      <x:c r="G229" s="37"/>
      <x:c r="H229" s="37"/>
      <x:c r="I229" s="37"/>
      <x:c r="J229" s="41" t="n">
        <x:f>ROUND(IFERROR(AVERAGE(J206:J227),0),1)</x:f>
        <x:v>44</x:v>
      </x:c>
      <x:c r="K229" s="37"/>
    </x:row>
    <x:row r="231">
      <x:c r="A231" s="17" t="str">
        <x:v>10月</x:v>
      </x:c>
      <x:c r="B231" s="17"/>
      <x:c r="C231" s="17"/>
      <x:c r="D231" s="17"/>
      <x:c r="E231" s="17"/>
      <x:c r="F231" s="17"/>
      <x:c r="G231" s="17"/>
      <x:c r="H231" s="17"/>
      <x:c r="I231" s="17"/>
      <x:c r="J231" s="17"/>
      <x:c r="K231" s="17"/>
    </x:row>
    <x:row r="232">
      <x:c r="A232" s="20" t="str">
        <x:v>序号</x:v>
      </x:c>
      <x:c r="B232" s="20" t="str">
        <x:v>星期</x:v>
      </x:c>
      <x:c r="C232" s="20" t="str">
        <x:v>日期</x:v>
      </x:c>
      <x:c r="D232" s="20" t="str">
        <x:v>开盘</x:v>
      </x:c>
      <x:c r="E232" s="20" t="str">
        <x:v>高点</x:v>
      </x:c>
      <x:c r="F232" s="20" t="str">
        <x:v>低点</x:v>
      </x:c>
      <x:c r="G232" s="20" t="str">
        <x:v>收盘</x:v>
      </x:c>
      <x:c r="H232" s="20" t="str">
        <x:v>涨跌点数</x:v>
      </x:c>
      <x:c r="I232" s="20" t="str">
        <x:v>涨幅</x:v>
      </x:c>
      <x:c r="J232" s="20" t="str">
        <x:v>振幅</x:v>
      </x:c>
      <x:c r="K232" s="20" t="str">
        <x:v>标的</x:v>
      </x:c>
    </x:row>
    <x:row r="233">
      <x:c r="A233" s="23" t="n">
        <x:v>1</x:v>
      </x:c>
      <x:c r="B233" s="23" t="str">
        <x:v>周四</x:v>
      </x:c>
      <x:c r="C233" s="23" t="str">
        <x:v>10月9日</x:v>
      </x:c>
      <x:c r="D233" s="24" t="n">
        <x:v>2996</x:v>
      </x:c>
      <x:c r="E233" s="24" t="n">
        <x:v>3034.2</x:v>
      </x:c>
      <x:c r="F233" s="24" t="n">
        <x:v>2985</x:v>
      </x:c>
      <x:c r="G233" s="24" t="n">
        <x:v>3026</x:v>
      </x:c>
      <x:c r="H233" s="24"/>
      <x:c r="I233" s="25" t="n">
        <x:v>0.01237872198059553</x:v>
      </x:c>
      <x:c r="J233" s="24" t="n">
        <x:f>ROUND(E233-F233,1)</x:f>
        <x:v>49.2</x:v>
      </x:c>
      <x:c r="K233" s="23" t="str">
        <x:v>IH2512</x:v>
      </x:c>
    </x:row>
    <x:row r="234">
      <x:c r="A234" s="23" t="n">
        <x:v>2</x:v>
      </x:c>
      <x:c r="B234" s="23" t="str">
        <x:v>周五</x:v>
      </x:c>
      <x:c r="C234" s="23" t="str">
        <x:v>10月10日</x:v>
      </x:c>
      <x:c r="D234" s="24" t="n">
        <x:v>3010</x:v>
      </x:c>
      <x:c r="E234" s="24" t="n">
        <x:v>3014.6</x:v>
      </x:c>
      <x:c r="F234" s="24" t="n">
        <x:v>2966</x:v>
      </x:c>
      <x:c r="G234" s="24" t="n">
        <x:v>2975.8</x:v>
      </x:c>
      <x:c r="H234" s="24"/>
      <x:c r="I234" s="25" t="n">
        <x:v>-0.016589557171183045</x:v>
      </x:c>
      <x:c r="J234" s="24" t="n">
        <x:f>ROUND(E234-F234,1)</x:f>
        <x:v>48.6</x:v>
      </x:c>
      <x:c r="K234" s="23" t="str">
        <x:v>IH2512</x:v>
      </x:c>
    </x:row>
    <x:row r="235">
      <x:c r="A235" s="23" t="n">
        <x:v>3</x:v>
      </x:c>
      <x:c r="B235" s="23" t="str">
        <x:v>周一</x:v>
      </x:c>
      <x:c r="C235" s="23" t="str">
        <x:v>10月13日</x:v>
      </x:c>
      <x:c r="D235" s="24" t="n">
        <x:v>2930</x:v>
      </x:c>
      <x:c r="E235" s="24" t="n">
        <x:v>2969</x:v>
      </x:c>
      <x:c r="F235" s="24" t="n">
        <x:v>2925.4</x:v>
      </x:c>
      <x:c r="G235" s="24" t="n">
        <x:v>2961.6</x:v>
      </x:c>
      <x:c r="H235" s="24"/>
      <x:c r="I235" s="25" t="n">
        <x:v>-0.004771826063579621</x:v>
      </x:c>
      <x:c r="J235" s="24" t="n">
        <x:f>ROUND(E235-F235,1)</x:f>
        <x:v>43.6</x:v>
      </x:c>
      <x:c r="K235" s="23" t="str">
        <x:v>IH2512</x:v>
      </x:c>
    </x:row>
    <x:row r="236">
      <x:c r="A236" s="23" t="n">
        <x:v>4</x:v>
      </x:c>
      <x:c r="B236" s="23" t="str">
        <x:v>周二</x:v>
      </x:c>
      <x:c r="C236" s="23" t="str">
        <x:v>10月14日</x:v>
      </x:c>
      <x:c r="D236" s="24" t="n">
        <x:v>2972.2</x:v>
      </x:c>
      <x:c r="E236" s="24" t="n">
        <x:v>2990.2</x:v>
      </x:c>
      <x:c r="F236" s="24" t="n">
        <x:v>2943.6</x:v>
      </x:c>
      <x:c r="G236" s="24" t="n">
        <x:v>2958.4</x:v>
      </x:c>
      <x:c r="H236" s="24"/>
      <x:c r="I236" s="25" t="n">
        <x:v>-0.0010804970286331095</x:v>
      </x:c>
      <x:c r="J236" s="24" t="n">
        <x:f>ROUND(E236-F236,1)</x:f>
        <x:v>46.6</x:v>
      </x:c>
      <x:c r="K236" s="23" t="str">
        <x:v>IH2512</x:v>
      </x:c>
    </x:row>
    <x:row r="237">
      <x:c r="A237" s="23" t="n">
        <x:v>5</x:v>
      </x:c>
      <x:c r="B237" s="23" t="str">
        <x:v>周三</x:v>
      </x:c>
      <x:c r="C237" s="23" t="str">
        <x:v>10月15日</x:v>
      </x:c>
      <x:c r="D237" s="24" t="n">
        <x:v>2968</x:v>
      </x:c>
      <x:c r="E237" s="24" t="n">
        <x:v>3006.8</x:v>
      </x:c>
      <x:c r="F237" s="24" t="n">
        <x:v>2956.2</x:v>
      </x:c>
      <x:c r="G237" s="24" t="n">
        <x:v>2997.4</x:v>
      </x:c>
      <x:c r="H237" s="24"/>
      <x:c r="I237" s="25" t="n">
        <x:v>0.013182801514332043</x:v>
      </x:c>
      <x:c r="J237" s="24" t="n">
        <x:f>ROUND(E237-F237,1)</x:f>
        <x:v>50.6</x:v>
      </x:c>
      <x:c r="K237" s="23" t="str">
        <x:v>IH2512</x:v>
      </x:c>
    </x:row>
    <x:row r="238">
      <x:c r="A238" s="23" t="n">
        <x:v>6</x:v>
      </x:c>
      <x:c r="B238" s="23" t="str">
        <x:v>周四</x:v>
      </x:c>
      <x:c r="C238" s="23" t="str">
        <x:v>10月16日</x:v>
      </x:c>
      <x:c r="D238" s="24" t="n">
        <x:v>2991</x:v>
      </x:c>
      <x:c r="E238" s="24" t="n">
        <x:v>3030.6</x:v>
      </x:c>
      <x:c r="F238" s="24" t="n">
        <x:v>2990.2</x:v>
      </x:c>
      <x:c r="G238" s="24" t="n">
        <x:v>3019</x:v>
      </x:c>
      <x:c r="H238" s="24"/>
      <x:c r="I238" s="25" t="n">
        <x:v>0.0072062454126908815</x:v>
      </x:c>
      <x:c r="J238" s="24" t="n">
        <x:f>ROUND(E238-F238,1)</x:f>
        <x:v>40.4</x:v>
      </x:c>
      <x:c r="K238" s="23" t="str">
        <x:v>IH2512</x:v>
      </x:c>
    </x:row>
    <x:row r="239">
      <x:c r="A239" s="33" t="n">
        <x:v>7</x:v>
      </x:c>
      <x:c r="B239" s="33" t="str">
        <x:v>周五</x:v>
      </x:c>
      <x:c r="C239" s="33" t="str">
        <x:v>10月17日</x:v>
      </x:c>
      <x:c r="D239" s="34" t="n">
        <x:v>3015.4</x:v>
      </x:c>
      <x:c r="E239" s="34" t="n">
        <x:v>3025</x:v>
      </x:c>
      <x:c r="F239" s="34" t="n">
        <x:v>2951.2</x:v>
      </x:c>
      <x:c r="G239" s="34" t="n">
        <x:v>2963</x:v>
      </x:c>
      <x:c r="H239" s="34"/>
      <x:c r="I239" s="35" t="n">
        <x:v>-0.018549188473004352</x:v>
      </x:c>
      <x:c r="J239" s="29" t="n">
        <x:f>ROUND(E239-F239,1)</x:f>
        <x:v>73.8</x:v>
      </x:c>
      <x:c r="K239" s="33" t="str">
        <x:v>IH2512</x:v>
      </x:c>
    </x:row>
    <x:row r="240">
      <x:c r="A240" s="23" t="n">
        <x:v>8</x:v>
      </x:c>
      <x:c r="B240" s="23" t="str">
        <x:v>周一</x:v>
      </x:c>
      <x:c r="C240" s="23" t="str">
        <x:v>10月20日</x:v>
      </x:c>
      <x:c r="D240" s="24" t="n">
        <x:v>2981</x:v>
      </x:c>
      <x:c r="E240" s="24" t="n">
        <x:v>2995.8</x:v>
      </x:c>
      <x:c r="F240" s="24" t="n">
        <x:v>2962.8</x:v>
      </x:c>
      <x:c r="G240" s="24" t="n">
        <x:v>2970.4</x:v>
      </x:c>
      <x:c r="H240" s="24"/>
      <x:c r="I240" s="25" t="n">
        <x:v>0.0024974687816403662</x:v>
      </x:c>
      <x:c r="J240" s="24" t="n">
        <x:f>ROUND(E240-F240,1)</x:f>
        <x:v>33</x:v>
      </x:c>
      <x:c r="K240" s="23" t="str">
        <x:v>IH2512</x:v>
      </x:c>
    </x:row>
    <x:row r="241">
      <x:c r="A241" s="23" t="n">
        <x:v>9</x:v>
      </x:c>
      <x:c r="B241" s="23" t="str">
        <x:v>周二</x:v>
      </x:c>
      <x:c r="C241" s="23" t="str">
        <x:v>10月21日</x:v>
      </x:c>
      <x:c r="D241" s="24" t="n">
        <x:v>2979.8</x:v>
      </x:c>
      <x:c r="E241" s="24" t="n">
        <x:v>3014.4</x:v>
      </x:c>
      <x:c r="F241" s="24" t="n">
        <x:v>2973.2</x:v>
      </x:c>
      <x:c r="G241" s="24" t="n">
        <x:v>3004.8</x:v>
      </x:c>
      <x:c r="H241" s="24"/>
      <x:c r="I241" s="25" t="n">
        <x:v>0.011580931861028931</x:v>
      </x:c>
      <x:c r="J241" s="24" t="n">
        <x:f>ROUND(E241-F241,1)</x:f>
        <x:v>41.2</x:v>
      </x:c>
      <x:c r="K241" s="23" t="str">
        <x:v>IH2512</x:v>
      </x:c>
    </x:row>
    <x:row r="242">
      <x:c r="A242" s="23" t="n">
        <x:v>10</x:v>
      </x:c>
      <x:c r="B242" s="23" t="str">
        <x:v>周三</x:v>
      </x:c>
      <x:c r="C242" s="23" t="str">
        <x:v>10月22日</x:v>
      </x:c>
      <x:c r="D242" s="24" t="n">
        <x:v>2989</x:v>
      </x:c>
      <x:c r="E242" s="24" t="n">
        <x:v>3011.4</x:v>
      </x:c>
      <x:c r="F242" s="24" t="n">
        <x:v>2981.6</x:v>
      </x:c>
      <x:c r="G242" s="24" t="n">
        <x:v>3005.6</x:v>
      </x:c>
      <x:c r="H242" s="24"/>
      <x:c r="I242" s="25" t="n">
        <x:v>0.00026624068157610203</x:v>
      </x:c>
      <x:c r="J242" s="24" t="n">
        <x:f>ROUND(E242-F242,1)</x:f>
        <x:v>29.8</x:v>
      </x:c>
      <x:c r="K242" s="23" t="str">
        <x:v>IH2512</x:v>
      </x:c>
    </x:row>
    <x:row r="243">
      <x:c r="A243" s="23" t="n">
        <x:v>11</x:v>
      </x:c>
      <x:c r="B243" s="23" t="str">
        <x:v>周四</x:v>
      </x:c>
      <x:c r="C243" s="23" t="str">
        <x:v>10月23日</x:v>
      </x:c>
      <x:c r="D243" s="24" t="n">
        <x:v>3000</x:v>
      </x:c>
      <x:c r="E243" s="24" t="n">
        <x:v>3030</x:v>
      </x:c>
      <x:c r="F243" s="24" t="n">
        <x:v>2976.8</x:v>
      </x:c>
      <x:c r="G243" s="24" t="n">
        <x:v>3023.8</x:v>
      </x:c>
      <x:c r="H243" s="24"/>
      <x:c r="I243" s="25" t="n">
        <x:v>0.006055363321799456</x:v>
      </x:c>
      <x:c r="J243" s="24" t="n">
        <x:f>ROUND(E243-F243,1)</x:f>
        <x:v>53.2</x:v>
      </x:c>
      <x:c r="K243" s="23" t="str">
        <x:v>IH2512</x:v>
      </x:c>
    </x:row>
    <x:row r="244">
      <x:c r="A244" s="23" t="n">
        <x:v>12</x:v>
      </x:c>
      <x:c r="B244" s="23" t="str">
        <x:v>周五</x:v>
      </x:c>
      <x:c r="C244" s="23" t="str">
        <x:v>10月24日</x:v>
      </x:c>
      <x:c r="D244" s="24" t="n">
        <x:v>3033.6</x:v>
      </x:c>
      <x:c r="E244" s="24" t="n">
        <x:v>3056.2</x:v>
      </x:c>
      <x:c r="F244" s="24" t="n">
        <x:v>3026.4</x:v>
      </x:c>
      <x:c r="G244" s="24" t="n">
        <x:v>3048.6</x:v>
      </x:c>
      <x:c r="H244" s="24"/>
      <x:c r="I244" s="25" t="n">
        <x:v>0.008201600634962558</x:v>
      </x:c>
      <x:c r="J244" s="24" t="n">
        <x:f>ROUND(E244-F244,1)</x:f>
        <x:v>29.8</x:v>
      </x:c>
      <x:c r="K244" s="23" t="str">
        <x:v>IH2512</x:v>
      </x:c>
    </x:row>
    <x:row r="245">
      <x:c r="A245" s="23" t="n">
        <x:v>13</x:v>
      </x:c>
      <x:c r="B245" s="23" t="str">
        <x:v>周一</x:v>
      </x:c>
      <x:c r="C245" s="23" t="str">
        <x:v>10月27日</x:v>
      </x:c>
      <x:c r="D245" s="24" t="n">
        <x:v>3065</x:v>
      </x:c>
      <x:c r="E245" s="24" t="n">
        <x:v>3080</x:v>
      </x:c>
      <x:c r="F245" s="24" t="n">
        <x:v>3058.4</x:v>
      </x:c>
      <x:c r="G245" s="24" t="n">
        <x:v>3066.8</x:v>
      </x:c>
      <x:c r="H245" s="24"/>
      <x:c r="I245" s="25" t="n">
        <x:v>0.005969953421242735</x:v>
      </x:c>
      <x:c r="J245" s="24" t="n">
        <x:f>ROUND(E245-F245,1)</x:f>
        <x:v>21.6</x:v>
      </x:c>
      <x:c r="K245" s="23" t="str">
        <x:v>IH2512</x:v>
      </x:c>
    </x:row>
    <x:row r="246">
      <x:c r="A246" s="23" t="n">
        <x:v>14</x:v>
      </x:c>
      <x:c r="B246" s="23" t="str">
        <x:v>周二</x:v>
      </x:c>
      <x:c r="C246" s="23" t="str">
        <x:v>10月28日</x:v>
      </x:c>
      <x:c r="D246" s="24" t="n">
        <x:v>3061.4</x:v>
      </x:c>
      <x:c r="E246" s="24" t="n">
        <x:v>3078.6</x:v>
      </x:c>
      <x:c r="F246" s="24" t="n">
        <x:v>3045.8</x:v>
      </x:c>
      <x:c r="G246" s="24" t="n">
        <x:v>3051.6</x:v>
      </x:c>
      <x:c r="H246" s="24"/>
      <x:c r="I246" s="25" t="n">
        <x:v>-0.004956306247554498</x:v>
      </x:c>
      <x:c r="J246" s="24" t="n">
        <x:f>ROUND(E246-F246,1)</x:f>
        <x:v>32.8</x:v>
      </x:c>
      <x:c r="K246" s="23" t="str">
        <x:v>IH2512</x:v>
      </x:c>
    </x:row>
    <x:row r="247">
      <x:c r="A247" s="23" t="n">
        <x:v>15</x:v>
      </x:c>
      <x:c r="B247" s="23" t="str">
        <x:v>周三</x:v>
      </x:c>
      <x:c r="C247" s="23" t="str">
        <x:v>10月29日</x:v>
      </x:c>
      <x:c r="D247" s="24" t="n">
        <x:v>3061.6</x:v>
      </x:c>
      <x:c r="E247" s="24" t="n">
        <x:v>3066.6</x:v>
      </x:c>
      <x:c r="F247" s="24" t="n">
        <x:v>3050</x:v>
      </x:c>
      <x:c r="G247" s="24" t="n">
        <x:v>3064.8</x:v>
      </x:c>
      <x:c r="H247" s="24"/>
      <x:c r="I247" s="25" t="n">
        <x:v>0.004325599685411019</x:v>
      </x:c>
      <x:c r="J247" s="24" t="n">
        <x:f>ROUND(E247-F247,1)</x:f>
        <x:v>16.6</x:v>
      </x:c>
      <x:c r="K247" s="23" t="str">
        <x:v>IH2512</x:v>
      </x:c>
    </x:row>
    <x:row r="248">
      <x:c r="A248" s="23" t="n">
        <x:v>16</x:v>
      </x:c>
      <x:c r="B248" s="23" t="str">
        <x:v>周四</x:v>
      </x:c>
      <x:c r="C248" s="23" t="str">
        <x:v>10月30日</x:v>
      </x:c>
      <x:c r="D248" s="24" t="n">
        <x:v>3060.8</x:v>
      </x:c>
      <x:c r="E248" s="24" t="n">
        <x:v>3074.8</x:v>
      </x:c>
      <x:c r="F248" s="24" t="n">
        <x:v>3039.4</x:v>
      </x:c>
      <x:c r="G248" s="24" t="n">
        <x:v>3045</x:v>
      </x:c>
      <x:c r="H248" s="24"/>
      <x:c r="I248" s="25" t="n">
        <x:v>-0.0064604541895066925</x:v>
      </x:c>
      <x:c r="J248" s="24" t="n">
        <x:f>ROUND(E248-F248,1)</x:f>
        <x:v>35.4</x:v>
      </x:c>
      <x:c r="K248" s="23" t="str">
        <x:v>IH2512</x:v>
      </x:c>
    </x:row>
    <x:row r="249">
      <x:c r="A249" s="23" t="n">
        <x:v>17</x:v>
      </x:c>
      <x:c r="B249" s="23" t="str">
        <x:v>周五</x:v>
      </x:c>
      <x:c r="C249" s="23" t="str">
        <x:v>10月31日</x:v>
      </x:c>
      <x:c r="D249" s="24" t="n">
        <x:v>3047</x:v>
      </x:c>
      <x:c r="E249" s="24" t="n">
        <x:v>3053</x:v>
      </x:c>
      <x:c r="F249" s="24" t="n">
        <x:v>3010.6</x:v>
      </x:c>
      <x:c r="G249" s="24" t="n">
        <x:v>3015.2</x:v>
      </x:c>
      <x:c r="H249" s="24"/>
      <x:c r="I249" s="25" t="n">
        <x:v>-0.009786535303776711</x:v>
      </x:c>
      <x:c r="J249" s="24" t="n">
        <x:f>ROUND(E249-F249,1)</x:f>
        <x:v>42.4</x:v>
      </x:c>
      <x:c r="K249" s="23" t="str">
        <x:v>IH2512</x:v>
      </x:c>
    </x:row>
    <x:row r="250">
      <x:c r="A250" s="38" t="str">
        <x:v>合计</x:v>
      </x:c>
      <x:c r="B250" s="37" t="n">
        <x:v>17</x:v>
      </x:c>
      <x:c r="C250" s="37"/>
      <x:c r="D250" s="37"/>
      <x:c r="E250" s="37"/>
      <x:c r="F250" s="37"/>
      <x:c r="G250" s="37"/>
      <x:c r="H250" s="37"/>
      <x:c r="I250" s="37"/>
      <x:c r="J250" s="39" t="n">
        <x:f>ROUND(SUM(J233:J249),1)</x:f>
        <x:v>688.6</x:v>
      </x:c>
      <x:c r="K250" s="37"/>
    </x:row>
    <x:row r="251">
      <x:c r="A251" s="38" t="str">
        <x:v>均值</x:v>
      </x:c>
      <x:c r="B251" s="37"/>
      <x:c r="C251" s="37"/>
      <x:c r="D251" s="37"/>
      <x:c r="E251" s="37"/>
      <x:c r="F251" s="37"/>
      <x:c r="G251" s="37"/>
      <x:c r="H251" s="37"/>
      <x:c r="I251" s="37"/>
      <x:c r="J251" s="41" t="n">
        <x:f>ROUND(IFERROR(AVERAGE(J233:J249),0),1)</x:f>
        <x:v>40.5</x:v>
      </x:c>
      <x:c r="K251" s="37"/>
    </x:row>
    <x:row r="253">
      <x:c r="A253" s="17" t="str">
        <x:v>11月</x:v>
      </x:c>
      <x:c r="B253" s="17"/>
      <x:c r="C253" s="17"/>
      <x:c r="D253" s="17"/>
      <x:c r="E253" s="17"/>
      <x:c r="F253" s="17"/>
      <x:c r="G253" s="17"/>
      <x:c r="H253" s="17"/>
      <x:c r="I253" s="17"/>
      <x:c r="J253" s="17"/>
      <x:c r="K253" s="17"/>
    </x:row>
    <x:row r="254">
      <x:c r="A254" s="20" t="str">
        <x:v>序号</x:v>
      </x:c>
      <x:c r="B254" s="20" t="str">
        <x:v>星期</x:v>
      </x:c>
      <x:c r="C254" s="20" t="str">
        <x:v>日期</x:v>
      </x:c>
      <x:c r="D254" s="20" t="str">
        <x:v>开盘</x:v>
      </x:c>
      <x:c r="E254" s="20" t="str">
        <x:v>高点</x:v>
      </x:c>
      <x:c r="F254" s="20" t="str">
        <x:v>低点</x:v>
      </x:c>
      <x:c r="G254" s="20" t="str">
        <x:v>收盘</x:v>
      </x:c>
      <x:c r="H254" s="20" t="str">
        <x:v>涨跌点数</x:v>
      </x:c>
      <x:c r="I254" s="20" t="str">
        <x:v>涨幅</x:v>
      </x:c>
      <x:c r="J254" s="20" t="str">
        <x:v>振幅</x:v>
      </x:c>
      <x:c r="K254" s="20" t="str">
        <x:v>标的</x:v>
      </x:c>
    </x:row>
    <x:row r="255">
      <x:c r="A255" s="23" t="n">
        <x:v>1</x:v>
      </x:c>
      <x:c r="B255" s="23" t="str">
        <x:v>周一</x:v>
      </x:c>
      <x:c r="C255" s="23" t="str">
        <x:v>11月3日</x:v>
      </x:c>
      <x:c r="D255" s="24" t="n">
        <x:v>3012</x:v>
      </x:c>
      <x:c r="E255" s="24" t="n">
        <x:v>3021</x:v>
      </x:c>
      <x:c r="F255" s="24" t="n">
        <x:v>2986</x:v>
      </x:c>
      <x:c r="G255" s="24" t="n">
        <x:v>3016.6</x:v>
      </x:c>
      <x:c r="H255" s="24"/>
      <x:c r="I255" s="25" t="n">
        <x:v>0.0004643141416822427</x:v>
      </x:c>
      <x:c r="J255" s="24" t="n">
        <x:f>ROUND(E255-F255,1)</x:f>
        <x:v>35</x:v>
      </x:c>
      <x:c r="K255" s="23" t="str">
        <x:v>IH2512</x:v>
      </x:c>
    </x:row>
    <x:row r="256">
      <x:c r="A256" s="23" t="n">
        <x:v>2</x:v>
      </x:c>
      <x:c r="B256" s="23" t="str">
        <x:v>周二</x:v>
      </x:c>
      <x:c r="C256" s="23" t="str">
        <x:v>11月4日</x:v>
      </x:c>
      <x:c r="D256" s="24" t="n">
        <x:v>3017</x:v>
      </x:c>
      <x:c r="E256" s="24" t="n">
        <x:v>3024.4</x:v>
      </x:c>
      <x:c r="F256" s="24" t="n">
        <x:v>2992</x:v>
      </x:c>
      <x:c r="G256" s="24" t="n">
        <x:v>3008.2</x:v>
      </x:c>
      <x:c r="H256" s="24"/>
      <x:c r="I256" s="25" t="n">
        <x:v>-0.0027845919246834994</x:v>
      </x:c>
      <x:c r="J256" s="24" t="n">
        <x:f>ROUND(E256-F256,1)</x:f>
        <x:v>32.4</x:v>
      </x:c>
      <x:c r="K256" s="23" t="str">
        <x:v>IH2512</x:v>
      </x:c>
    </x:row>
    <x:row r="257">
      <x:c r="A257" s="23" t="n">
        <x:v>3</x:v>
      </x:c>
      <x:c r="B257" s="23" t="str">
        <x:v>周三</x:v>
      </x:c>
      <x:c r="C257" s="23" t="str">
        <x:v>11月5日</x:v>
      </x:c>
      <x:c r="D257" s="24" t="n">
        <x:v>2986.4</x:v>
      </x:c>
      <x:c r="E257" s="24" t="n">
        <x:v>3019.6</x:v>
      </x:c>
      <x:c r="F257" s="24" t="n">
        <x:v>2979</x:v>
      </x:c>
      <x:c r="G257" s="24" t="n">
        <x:v>3002.6</x:v>
      </x:c>
      <x:c r="H257" s="24"/>
      <x:c r="I257" s="25" t="n">
        <x:v>-0.0018615783525031127</x:v>
      </x:c>
      <x:c r="J257" s="24" t="n">
        <x:f>ROUND(E257-F257,1)</x:f>
        <x:v>40.6</x:v>
      </x:c>
      <x:c r="K257" s="23" t="str">
        <x:v>IH2512</x:v>
      </x:c>
    </x:row>
    <x:row r="258">
      <x:c r="A258" s="23" t="n">
        <x:v>4</x:v>
      </x:c>
      <x:c r="B258" s="23" t="str">
        <x:v>周四</x:v>
      </x:c>
      <x:c r="C258" s="23" t="str">
        <x:v>11月6日</x:v>
      </x:c>
      <x:c r="D258" s="24" t="n">
        <x:v>3008</x:v>
      </x:c>
      <x:c r="E258" s="24" t="n">
        <x:v>3048.6</x:v>
      </x:c>
      <x:c r="F258" s="24" t="n">
        <x:v>3007</x:v>
      </x:c>
      <x:c r="G258" s="24" t="n">
        <x:v>3041.4</x:v>
      </x:c>
      <x:c r="H258" s="24"/>
      <x:c r="I258" s="25" t="n">
        <x:v>0.012922134150403108</x:v>
      </x:c>
      <x:c r="J258" s="24" t="n">
        <x:f>ROUND(E258-F258,1)</x:f>
        <x:v>41.6</x:v>
      </x:c>
      <x:c r="K258" s="23" t="str">
        <x:v>IH2512</x:v>
      </x:c>
    </x:row>
    <x:row r="259">
      <x:c r="A259" s="23" t="n">
        <x:v>5</x:v>
      </x:c>
      <x:c r="B259" s="23" t="str">
        <x:v>周五</x:v>
      </x:c>
      <x:c r="C259" s="23" t="str">
        <x:v>11月7日</x:v>
      </x:c>
      <x:c r="D259" s="24" t="n">
        <x:v>3036.8</x:v>
      </x:c>
      <x:c r="E259" s="24" t="n">
        <x:v>3047.8</x:v>
      </x:c>
      <x:c r="F259" s="24" t="n">
        <x:v>3032.2</x:v>
      </x:c>
      <x:c r="G259" s="24" t="n">
        <x:v>3038.2</x:v>
      </x:c>
      <x:c r="H259" s="24"/>
      <x:c r="I259" s="25" t="n">
        <x:v>-0.0010521470375486341</x:v>
      </x:c>
      <x:c r="J259" s="24" t="n">
        <x:f>ROUND(E259-F259,1)</x:f>
        <x:v>15.6</x:v>
      </x:c>
      <x:c r="K259" s="23" t="str">
        <x:v>IH2512</x:v>
      </x:c>
    </x:row>
    <x:row r="260">
      <x:c r="A260" s="23" t="n">
        <x:v>6</x:v>
      </x:c>
      <x:c r="B260" s="23" t="str">
        <x:v>周一</x:v>
      </x:c>
      <x:c r="C260" s="23" t="str">
        <x:v>11月10日</x:v>
      </x:c>
      <x:c r="D260" s="24" t="n">
        <x:v>3045</x:v>
      </x:c>
      <x:c r="E260" s="24" t="n">
        <x:v>3055</x:v>
      </x:c>
      <x:c r="F260" s="24" t="n">
        <x:v>3026.2</x:v>
      </x:c>
      <x:c r="G260" s="24" t="n">
        <x:v>3054</x:v>
      </x:c>
      <x:c r="H260" s="24"/>
      <x:c r="I260" s="25" t="n">
        <x:v>0.0052004476334672756</x:v>
      </x:c>
      <x:c r="J260" s="24" t="n">
        <x:f>ROUND(E260-F260,1)</x:f>
        <x:v>28.8</x:v>
      </x:c>
      <x:c r="K260" s="23" t="str">
        <x:v>IH2512</x:v>
      </x:c>
    </x:row>
    <x:row r="261">
      <x:c r="A261" s="23" t="n">
        <x:v>7</x:v>
      </x:c>
      <x:c r="B261" s="23" t="str">
        <x:v>周二</x:v>
      </x:c>
      <x:c r="C261" s="23" t="str">
        <x:v>11月11日</x:v>
      </x:c>
      <x:c r="D261" s="24" t="n">
        <x:v>3058</x:v>
      </x:c>
      <x:c r="E261" s="24" t="n">
        <x:v>3061.2</x:v>
      </x:c>
      <x:c r="F261" s="24" t="n">
        <x:v>3018</x:v>
      </x:c>
      <x:c r="G261" s="24" t="n">
        <x:v>3033</x:v>
      </x:c>
      <x:c r="H261" s="24"/>
      <x:c r="I261" s="25" t="n">
        <x:v>-0.006876227897838927</x:v>
      </x:c>
      <x:c r="J261" s="24" t="n">
        <x:f>ROUND(E261-F261,1)</x:f>
        <x:v>43.2</x:v>
      </x:c>
      <x:c r="K261" s="23" t="str">
        <x:v>IH2512</x:v>
      </x:c>
    </x:row>
    <x:row r="262">
      <x:c r="A262" s="23" t="n">
        <x:v>8</x:v>
      </x:c>
      <x:c r="B262" s="23" t="str">
        <x:v>周三</x:v>
      </x:c>
      <x:c r="C262" s="23" t="str">
        <x:v>11月12日</x:v>
      </x:c>
      <x:c r="D262" s="24" t="n">
        <x:v>3035</x:v>
      </x:c>
      <x:c r="E262" s="24" t="n">
        <x:v>3055.2</x:v>
      </x:c>
      <x:c r="F262" s="24" t="n">
        <x:v>3027.2</x:v>
      </x:c>
      <x:c r="G262" s="24" t="n">
        <x:v>3042.8</x:v>
      </x:c>
      <x:c r="H262" s="24"/>
      <x:c r="I262" s="25" t="n">
        <x:v>0.0032311242993736666</x:v>
      </x:c>
      <x:c r="J262" s="24" t="n">
        <x:f>ROUND(E262-F262,1)</x:f>
        <x:v>28</x:v>
      </x:c>
      <x:c r="K262" s="23" t="str">
        <x:v>IH2512</x:v>
      </x:c>
    </x:row>
    <x:row r="263">
      <x:c r="A263" s="23" t="n">
        <x:v>9</x:v>
      </x:c>
      <x:c r="B263" s="23" t="str">
        <x:v>周四</x:v>
      </x:c>
      <x:c r="C263" s="23" t="str">
        <x:v>11月13日</x:v>
      </x:c>
      <x:c r="D263" s="24" t="n">
        <x:v>3039</x:v>
      </x:c>
      <x:c r="E263" s="24" t="n">
        <x:v>3073.2</x:v>
      </x:c>
      <x:c r="F263" s="24" t="n">
        <x:v>3037.4</x:v>
      </x:c>
      <x:c r="G263" s="24" t="n">
        <x:v>3068.8</x:v>
      </x:c>
      <x:c r="H263" s="24"/>
      <x:c r="I263" s="25" t="n">
        <x:v>0.00854476140396998</x:v>
      </x:c>
      <x:c r="J263" s="24" t="n">
        <x:f>ROUND(E263-F263,1)</x:f>
        <x:v>35.8</x:v>
      </x:c>
      <x:c r="K263" s="23" t="str">
        <x:v>IH2512</x:v>
      </x:c>
    </x:row>
    <x:row r="264">
      <x:c r="A264" s="23" t="n">
        <x:v>10</x:v>
      </x:c>
      <x:c r="B264" s="23" t="str">
        <x:v>周五</x:v>
      </x:c>
      <x:c r="C264" s="23" t="str">
        <x:v>11月14日</x:v>
      </x:c>
      <x:c r="D264" s="24" t="n">
        <x:v>3055.4</x:v>
      </x:c>
      <x:c r="E264" s="24" t="n">
        <x:v>3072.4</x:v>
      </x:c>
      <x:c r="F264" s="24" t="n">
        <x:v>3029.4</x:v>
      </x:c>
      <x:c r="G264" s="24" t="n">
        <x:v>3030.4</x:v>
      </x:c>
      <x:c r="H264" s="24"/>
      <x:c r="I264" s="25" t="n">
        <x:v>-0.012513034410844615</x:v>
      </x:c>
      <x:c r="J264" s="24" t="n">
        <x:f>ROUND(E264-F264,1)</x:f>
        <x:v>43</x:v>
      </x:c>
      <x:c r="K264" s="23" t="str">
        <x:v>IH2512</x:v>
      </x:c>
    </x:row>
    <x:row r="265">
      <x:c r="A265" s="23" t="n">
        <x:v>11</x:v>
      </x:c>
      <x:c r="B265" s="23" t="str">
        <x:v>周一</x:v>
      </x:c>
      <x:c r="C265" s="23" t="str">
        <x:v>11月17日</x:v>
      </x:c>
      <x:c r="D265" s="24" t="n">
        <x:v>3030</x:v>
      </x:c>
      <x:c r="E265" s="24" t="n">
        <x:v>3033.4</x:v>
      </x:c>
      <x:c r="F265" s="24" t="n">
        <x:v>2995.6</x:v>
      </x:c>
      <x:c r="G265" s="24" t="n">
        <x:v>3009.2</x:v>
      </x:c>
      <x:c r="H265" s="24"/>
      <x:c r="I265" s="25" t="n">
        <x:v>-0.006995776135163778</x:v>
      </x:c>
      <x:c r="J265" s="24" t="n">
        <x:f>ROUND(E265-F265,1)</x:f>
        <x:v>37.8</x:v>
      </x:c>
      <x:c r="K265" s="23" t="str">
        <x:v>IH2512</x:v>
      </x:c>
    </x:row>
    <x:row r="266">
      <x:c r="A266" s="23" t="n">
        <x:v>12</x:v>
      </x:c>
      <x:c r="B266" s="23" t="str">
        <x:v>周二</x:v>
      </x:c>
      <x:c r="C266" s="23" t="str">
        <x:v>11月18日</x:v>
      </x:c>
      <x:c r="D266" s="24" t="n">
        <x:v>3002</x:v>
      </x:c>
      <x:c r="E266" s="24" t="n">
        <x:v>3015.6</x:v>
      </x:c>
      <x:c r="F266" s="24" t="n">
        <x:v>2987.2</x:v>
      </x:c>
      <x:c r="G266" s="24" t="n">
        <x:v>2997.6</x:v>
      </x:c>
      <x:c r="H266" s="24"/>
      <x:c r="I266" s="25" t="n">
        <x:v>-0.0038548451415658658</x:v>
      </x:c>
      <x:c r="J266" s="24" t="n">
        <x:f>ROUND(E266-F266,1)</x:f>
        <x:v>28.4</x:v>
      </x:c>
      <x:c r="K266" s="23" t="str">
        <x:v>IH2512</x:v>
      </x:c>
    </x:row>
    <x:row r="267">
      <x:c r="A267" s="23" t="n">
        <x:v>13</x:v>
      </x:c>
      <x:c r="B267" s="23" t="str">
        <x:v>周三</x:v>
      </x:c>
      <x:c r="C267" s="23" t="str">
        <x:v>11月19日</x:v>
      </x:c>
      <x:c r="D267" s="24" t="n">
        <x:v>3000</x:v>
      </x:c>
      <x:c r="E267" s="24" t="n">
        <x:v>3027</x:v>
      </x:c>
      <x:c r="F267" s="24" t="n">
        <x:v>2999.2</x:v>
      </x:c>
      <x:c r="G267" s="24" t="n">
        <x:v>3011</x:v>
      </x:c>
      <x:c r="H267" s="24"/>
      <x:c r="I267" s="25" t="n">
        <x:v>0.004470242860955542</x:v>
      </x:c>
      <x:c r="J267" s="24" t="n">
        <x:f>ROUND(E267-F267,1)</x:f>
        <x:v>27.8</x:v>
      </x:c>
      <x:c r="K267" s="23" t="str">
        <x:v>IH2512</x:v>
      </x:c>
    </x:row>
    <x:row r="268">
      <x:c r="A268" s="23" t="n">
        <x:v>14</x:v>
      </x:c>
      <x:c r="B268" s="23" t="str">
        <x:v>周四</x:v>
      </x:c>
      <x:c r="C268" s="23" t="str">
        <x:v>11月20日</x:v>
      </x:c>
      <x:c r="D268" s="24" t="n">
        <x:v>3020</x:v>
      </x:c>
      <x:c r="E268" s="24" t="n">
        <x:v>3032.4</x:v>
      </x:c>
      <x:c r="F268" s="24" t="n">
        <x:v>2996.6</x:v>
      </x:c>
      <x:c r="G268" s="24" t="n">
        <x:v>3002.6</x:v>
      </x:c>
      <x:c r="H268" s="24"/>
      <x:c r="I268" s="25" t="n">
        <x:v>-0.002789770840252448</x:v>
      </x:c>
      <x:c r="J268" s="24" t="n">
        <x:f>ROUND(E268-F268,1)</x:f>
        <x:v>35.8</x:v>
      </x:c>
      <x:c r="K268" s="23" t="str">
        <x:v>IH2512</x:v>
      </x:c>
    </x:row>
    <x:row r="269">
      <x:c r="A269" s="33" t="n">
        <x:v>15</x:v>
      </x:c>
      <x:c r="B269" s="33" t="str">
        <x:v>周五</x:v>
      </x:c>
      <x:c r="C269" s="33" t="str">
        <x:v>11月21日</x:v>
      </x:c>
      <x:c r="D269" s="34" t="n">
        <x:v>2987.2</x:v>
      </x:c>
      <x:c r="E269" s="34" t="n">
        <x:v>2997.8</x:v>
      </x:c>
      <x:c r="F269" s="34" t="n">
        <x:v>2941</x:v>
      </x:c>
      <x:c r="G269" s="34" t="n">
        <x:v>2946.4</x:v>
      </x:c>
      <x:c r="H269" s="34"/>
      <x:c r="I269" s="35" t="n">
        <x:v>-0.01871711183640834</x:v>
      </x:c>
      <x:c r="J269" s="34" t="n">
        <x:f>ROUND(E269-F269,1)</x:f>
        <x:v>56.8</x:v>
      </x:c>
      <x:c r="K269" s="33" t="str">
        <x:v>IH2512</x:v>
      </x:c>
    </x:row>
    <x:row r="270">
      <x:c r="A270" s="23" t="n">
        <x:v>16</x:v>
      </x:c>
      <x:c r="B270" s="23" t="str">
        <x:v>周一</x:v>
      </x:c>
      <x:c r="C270" s="23" t="str">
        <x:v>11月24日</x:v>
      </x:c>
      <x:c r="D270" s="24" t="n">
        <x:v>2955</x:v>
      </x:c>
      <x:c r="E270" s="24" t="n">
        <x:v>2958</x:v>
      </x:c>
      <x:c r="F270" s="24" t="n">
        <x:v>2935</x:v>
      </x:c>
      <x:c r="G270" s="24" t="n">
        <x:v>2944.4</x:v>
      </x:c>
      <x:c r="H270" s="24"/>
      <x:c r="I270" s="25" t="n">
        <x:v>-0.0006787944610372465</x:v>
      </x:c>
      <x:c r="J270" s="24" t="n">
        <x:f>ROUND(E270-F270,1)</x:f>
        <x:v>23</x:v>
      </x:c>
      <x:c r="K270" s="23" t="str">
        <x:v>IH2512</x:v>
      </x:c>
    </x:row>
    <x:row r="271">
      <x:c r="A271" s="23" t="n">
        <x:v>17</x:v>
      </x:c>
      <x:c r="B271" s="23" t="str">
        <x:v>周二</x:v>
      </x:c>
      <x:c r="C271" s="23" t="str">
        <x:v>11月25日</x:v>
      </x:c>
      <x:c r="D271" s="24" t="n">
        <x:v>2957</x:v>
      </x:c>
      <x:c r="E271" s="24" t="n">
        <x:v>2970</x:v>
      </x:c>
      <x:c r="F271" s="24" t="n">
        <x:v>2948</x:v>
      </x:c>
      <x:c r="G271" s="24" t="n">
        <x:v>2959.2</x:v>
      </x:c>
      <x:c r="H271" s="24"/>
      <x:c r="I271" s="25" t="n">
        <x:v>0.0050264909659012424</x:v>
      </x:c>
      <x:c r="J271" s="24" t="n">
        <x:f>ROUND(E271-F271,1)</x:f>
        <x:v>22</x:v>
      </x:c>
      <x:c r="K271" s="23" t="str">
        <x:v>IH2512</x:v>
      </x:c>
    </x:row>
    <x:row r="272">
      <x:c r="A272" s="23" t="n">
        <x:v>18</x:v>
      </x:c>
      <x:c r="B272" s="23" t="str">
        <x:v>周三</x:v>
      </x:c>
      <x:c r="C272" s="23" t="str">
        <x:v>11月26日</x:v>
      </x:c>
      <x:c r="D272" s="24" t="n">
        <x:v>2966.4</x:v>
      </x:c>
      <x:c r="E272" s="24" t="n">
        <x:v>2973.6</x:v>
      </x:c>
      <x:c r="F272" s="24" t="n">
        <x:v>2962</x:v>
      </x:c>
      <x:c r="G272" s="24" t="n">
        <x:v>2964.6</x:v>
      </x:c>
      <x:c r="H272" s="24"/>
      <x:c r="I272" s="25" t="n">
        <x:v>0.0018248175182482562</x:v>
      </x:c>
      <x:c r="J272" s="24" t="n">
        <x:f>ROUND(E272-F272,1)</x:f>
        <x:v>11.6</x:v>
      </x:c>
      <x:c r="K272" s="23" t="str">
        <x:v>IH2512</x:v>
      </x:c>
    </x:row>
    <x:row r="273">
      <x:c r="A273" s="23" t="n">
        <x:v>19</x:v>
      </x:c>
      <x:c r="B273" s="23" t="str">
        <x:v>周四</x:v>
      </x:c>
      <x:c r="C273" s="23" t="str">
        <x:v>11月27日</x:v>
      </x:c>
      <x:c r="D273" s="24" t="n">
        <x:v>2967.8</x:v>
      </x:c>
      <x:c r="E273" s="24" t="n">
        <x:v>2986.4</x:v>
      </x:c>
      <x:c r="F273" s="24" t="n">
        <x:v>2958.2</x:v>
      </x:c>
      <x:c r="G273" s="24" t="n">
        <x:v>2962.4</x:v>
      </x:c>
      <x:c r="H273" s="24"/>
      <x:c r="I273" s="25" t="n">
        <x:v>-0.0007420899952775839</x:v>
      </x:c>
      <x:c r="J273" s="24" t="n">
        <x:f>ROUND(E273-F273,1)</x:f>
        <x:v>28.2</x:v>
      </x:c>
      <x:c r="K273" s="23" t="str">
        <x:v>IH2512</x:v>
      </x:c>
    </x:row>
    <x:row r="274">
      <x:c r="A274" s="23" t="n">
        <x:v>20</x:v>
      </x:c>
      <x:c r="B274" s="23" t="str">
        <x:v>周五</x:v>
      </x:c>
      <x:c r="C274" s="23" t="str">
        <x:v>11月28日</x:v>
      </x:c>
      <x:c r="D274" s="24" t="n">
        <x:v>2964</x:v>
      </x:c>
      <x:c r="E274" s="24" t="n">
        <x:v>2968.8</x:v>
      </x:c>
      <x:c r="F274" s="24" t="n">
        <x:v>2948</x:v>
      </x:c>
      <x:c r="G274" s="24" t="n">
        <x:v>2963.2</x:v>
      </x:c>
      <x:c r="H274" s="24"/>
      <x:c r="I274" s="25" t="n">
        <x:v>0.00027005130974866454</x:v>
      </x:c>
      <x:c r="J274" s="24" t="n">
        <x:f>ROUND(E274-F274,1)</x:f>
        <x:v>20.8</x:v>
      </x:c>
      <x:c r="K274" s="23" t="str">
        <x:v>IH2512</x:v>
      </x:c>
    </x:row>
    <x:row r="275">
      <x:c r="A275" s="38" t="str">
        <x:v>合计</x:v>
      </x:c>
      <x:c r="B275" s="37" t="n">
        <x:v>20</x:v>
      </x:c>
      <x:c r="C275" s="37"/>
      <x:c r="D275" s="37"/>
      <x:c r="E275" s="37"/>
      <x:c r="F275" s="37"/>
      <x:c r="G275" s="37"/>
      <x:c r="H275" s="37"/>
      <x:c r="I275" s="37"/>
      <x:c r="J275" s="39" t="n">
        <x:f>ROUND(SUM(J255:J274),1)</x:f>
        <x:v>636.2</x:v>
      </x:c>
      <x:c r="K275" s="37"/>
    </x:row>
    <x:row r="276">
      <x:c r="A276" s="38" t="str">
        <x:v>均值</x:v>
      </x:c>
      <x:c r="B276" s="37"/>
      <x:c r="C276" s="37"/>
      <x:c r="D276" s="37"/>
      <x:c r="E276" s="37"/>
      <x:c r="F276" s="37"/>
      <x:c r="G276" s="37"/>
      <x:c r="H276" s="37"/>
      <x:c r="I276" s="37"/>
      <x:c r="J276" s="41" t="n">
        <x:f>ROUND(IFERROR(AVERAGE(J255:J274),0),1)</x:f>
        <x:v>31.8</x:v>
      </x:c>
      <x:c r="K276" s="37"/>
    </x:row>
    <x:row r="278">
      <x:c r="A278" s="17" t="str">
        <x:v>12月</x:v>
      </x:c>
      <x:c r="B278" s="17"/>
      <x:c r="C278" s="17"/>
      <x:c r="D278" s="17"/>
      <x:c r="E278" s="17"/>
      <x:c r="F278" s="17"/>
      <x:c r="G278" s="17"/>
      <x:c r="H278" s="17"/>
      <x:c r="I278" s="17"/>
      <x:c r="J278" s="17"/>
      <x:c r="K278" s="17"/>
    </x:row>
    <x:row r="279">
      <x:c r="A279" s="20" t="str">
        <x:v>序号</x:v>
      </x:c>
      <x:c r="B279" s="20" t="str">
        <x:v>星期</x:v>
      </x:c>
      <x:c r="C279" s="20" t="str">
        <x:v>日期</x:v>
      </x:c>
      <x:c r="D279" s="20" t="str">
        <x:v>开盘</x:v>
      </x:c>
      <x:c r="E279" s="20" t="str">
        <x:v>高点</x:v>
      </x:c>
      <x:c r="F279" s="20" t="str">
        <x:v>低点</x:v>
      </x:c>
      <x:c r="G279" s="20" t="str">
        <x:v>收盘</x:v>
      </x:c>
      <x:c r="H279" s="20" t="str">
        <x:v>涨跌点数</x:v>
      </x:c>
      <x:c r="I279" s="20" t="str">
        <x:v>涨幅</x:v>
      </x:c>
      <x:c r="J279" s="20" t="str">
        <x:v>振幅</x:v>
      </x:c>
      <x:c r="K279" s="20" t="str">
        <x:v>标的</x:v>
      </x:c>
    </x:row>
    <x:row r="280">
      <x:c r="A280" s="23" t="n">
        <x:v>1</x:v>
      </x:c>
      <x:c r="B280" s="23" t="str">
        <x:v>周一</x:v>
      </x:c>
      <x:c r="C280" s="23" t="str">
        <x:v>12月1日</x:v>
      </x:c>
      <x:c r="D280" s="24" t="n">
        <x:v>2972</x:v>
      </x:c>
      <x:c r="E280" s="24" t="n">
        <x:v>2986.8</x:v>
      </x:c>
      <x:c r="F280" s="24" t="n">
        <x:v>2964.2</x:v>
      </x:c>
      <x:c r="G280" s="24" t="n">
        <x:v>2986.4</x:v>
      </x:c>
      <x:c r="H280" s="24"/>
      <x:c r="I280" s="25" t="n">
        <x:v>0.007829373650108051</x:v>
      </x:c>
      <x:c r="J280" s="24" t="n">
        <x:f>ROUND(E280-F280,1)</x:f>
        <x:v>22.6</x:v>
      </x:c>
      <x:c r="K280" s="23" t="str">
        <x:v>IH2512</x:v>
      </x:c>
    </x:row>
    <x:row r="281">
      <x:c r="A281" s="23" t="n">
        <x:v>2</x:v>
      </x:c>
      <x:c r="B281" s="23" t="str">
        <x:v>周二</x:v>
      </x:c>
      <x:c r="C281" s="23" t="str">
        <x:v>12月2日</x:v>
      </x:c>
      <x:c r="D281" s="24" t="n">
        <x:v>2987</x:v>
      </x:c>
      <x:c r="E281" s="24" t="n">
        <x:v>2987.2</x:v>
      </x:c>
      <x:c r="F281" s="24" t="n">
        <x:v>2964.2</x:v>
      </x:c>
      <x:c r="G281" s="24" t="n">
        <x:v>2971.4</x:v>
      </x:c>
      <x:c r="H281" s="24"/>
      <x:c r="I281" s="25" t="n">
        <x:v>-0.00502276989016881</x:v>
      </x:c>
      <x:c r="J281" s="24" t="n">
        <x:f>ROUND(E281-F281,1)</x:f>
        <x:v>23</x:v>
      </x:c>
      <x:c r="K281" s="23" t="str">
        <x:v>IH2512</x:v>
      </x:c>
    </x:row>
    <x:row r="282">
      <x:c r="A282" s="23" t="n">
        <x:v>3</x:v>
      </x:c>
      <x:c r="B282" s="23" t="str">
        <x:v>周三</x:v>
      </x:c>
      <x:c r="C282" s="23" t="str">
        <x:v>12月3日</x:v>
      </x:c>
      <x:c r="D282" s="24" t="n">
        <x:v>2968.6</x:v>
      </x:c>
      <x:c r="E282" s="24" t="n">
        <x:v>2977.8</x:v>
      </x:c>
      <x:c r="F282" s="24" t="n">
        <x:v>2950</x:v>
      </x:c>
      <x:c r="G282" s="24" t="n">
        <x:v>2958.4</x:v>
      </x:c>
      <x:c r="H282" s="24"/>
      <x:c r="I282" s="25" t="n">
        <x:v>-0.00437504206771222</x:v>
      </x:c>
      <x:c r="J282" s="24" t="n">
        <x:f>ROUND(E282-F282,1)</x:f>
        <x:v>27.8</x:v>
      </x:c>
      <x:c r="K282" s="23" t="str">
        <x:v>IH2512</x:v>
      </x:c>
    </x:row>
    <x:row r="283">
      <x:c r="A283" s="23" t="n">
        <x:v>4</x:v>
      </x:c>
      <x:c r="B283" s="23" t="str">
        <x:v>周四</x:v>
      </x:c>
      <x:c r="C283" s="23" t="str">
        <x:v>12月4日</x:v>
      </x:c>
      <x:c r="D283" s="24" t="n">
        <x:v>2960.4</x:v>
      </x:c>
      <x:c r="E283" s="24" t="n">
        <x:v>2977.8</x:v>
      </x:c>
      <x:c r="F283" s="24" t="n">
        <x:v>2953.2</x:v>
      </x:c>
      <x:c r="G283" s="24" t="n">
        <x:v>2968.2</x:v>
      </x:c>
      <x:c r="H283" s="24"/>
      <x:c r="I283" s="25" t="n">
        <x:v>0.003312601406165294</x:v>
      </x:c>
      <x:c r="J283" s="24" t="n">
        <x:f>ROUND(E283-F283,1)</x:f>
        <x:v>24.6</x:v>
      </x:c>
      <x:c r="K283" s="23" t="str">
        <x:v>IH2512</x:v>
      </x:c>
    </x:row>
    <x:row r="284">
      <x:c r="A284" s="23" t="n">
        <x:v>5</x:v>
      </x:c>
      <x:c r="B284" s="23" t="str">
        <x:v>周五</x:v>
      </x:c>
      <x:c r="C284" s="23" t="str">
        <x:v>12月5日</x:v>
      </x:c>
      <x:c r="D284" s="24" t="n">
        <x:v>2967.2</x:v>
      </x:c>
      <x:c r="E284" s="24" t="n">
        <x:v>3011.2</x:v>
      </x:c>
      <x:c r="F284" s="24" t="n">
        <x:v>2963.4</x:v>
      </x:c>
      <x:c r="G284" s="24" t="n">
        <x:v>2997.4</x:v>
      </x:c>
      <x:c r="H284" s="24"/>
      <x:c r="I284" s="25" t="n">
        <x:v>0.009837612020753506</x:v>
      </x:c>
      <x:c r="J284" s="24" t="n">
        <x:f>ROUND(E284-F284,1)</x:f>
        <x:v>47.8</x:v>
      </x:c>
      <x:c r="K284" s="23" t="str">
        <x:v>IH2512</x:v>
      </x:c>
    </x:row>
    <x:row r="285">
      <x:c r="A285" s="23" t="n">
        <x:v>6</x:v>
      </x:c>
      <x:c r="B285" s="23" t="str">
        <x:v>周一</x:v>
      </x:c>
      <x:c r="C285" s="23" t="str">
        <x:v>12月8日</x:v>
      </x:c>
      <x:c r="D285" s="24" t="n">
        <x:v>3003.6</x:v>
      </x:c>
      <x:c r="E285" s="24" t="n">
        <x:v>3030.8</x:v>
      </x:c>
      <x:c r="F285" s="24" t="n">
        <x:v>3003.6</x:v>
      </x:c>
      <x:c r="G285" s="24" t="n">
        <x:v>3015</x:v>
      </x:c>
      <x:c r="H285" s="24"/>
      <x:c r="I285" s="25" t="n">
        <x:v>0.005871755521451805</x:v>
      </x:c>
      <x:c r="J285" s="24" t="n">
        <x:f>ROUND(E285-F285,1)</x:f>
        <x:v>27.2</x:v>
      </x:c>
      <x:c r="K285" s="23" t="str">
        <x:v>IH2512</x:v>
      </x:c>
    </x:row>
    <x:row r="286">
      <x:c r="A286" s="23" t="n">
        <x:v>7</x:v>
      </x:c>
      <x:c r="B286" s="23" t="str">
        <x:v>周二</x:v>
      </x:c>
      <x:c r="C286" s="23" t="str">
        <x:v>12月9日</x:v>
      </x:c>
      <x:c r="D286" s="24" t="n">
        <x:v>3010</x:v>
      </x:c>
      <x:c r="E286" s="24" t="n">
        <x:v>3013.6</x:v>
      </x:c>
      <x:c r="F286" s="24" t="n">
        <x:v>2986</x:v>
      </x:c>
      <x:c r="G286" s="24" t="n">
        <x:v>2991.6</x:v>
      </x:c>
      <x:c r="H286" s="24"/>
      <x:c r="I286" s="25" t="n">
        <x:v>-0.00776119402985076</x:v>
      </x:c>
      <x:c r="J286" s="24" t="n">
        <x:f>ROUND(E286-F286,1)</x:f>
        <x:v>27.6</x:v>
      </x:c>
      <x:c r="K286" s="23" t="str">
        <x:v>IH2512</x:v>
      </x:c>
    </x:row>
    <x:row r="287">
      <x:c r="A287" s="23" t="n">
        <x:v>8</x:v>
      </x:c>
      <x:c r="B287" s="23" t="str">
        <x:v>周三</x:v>
      </x:c>
      <x:c r="C287" s="23" t="str">
        <x:v>12月10日</x:v>
      </x:c>
      <x:c r="D287" s="24" t="n">
        <x:v>2991.6</x:v>
      </x:c>
      <x:c r="E287" s="24" t="n">
        <x:v>2993.8</x:v>
      </x:c>
      <x:c r="F287" s="24" t="n">
        <x:v>2962.6</x:v>
      </x:c>
      <x:c r="G287" s="24" t="n">
        <x:v>2980.8</x:v>
      </x:c>
      <x:c r="H287" s="24"/>
      <x:c r="I287" s="25" t="n">
        <x:v>-0.0036101083032490378</x:v>
      </x:c>
      <x:c r="J287" s="24" t="n">
        <x:f>ROUND(E287-F287,1)</x:f>
        <x:v>31.2</x:v>
      </x:c>
      <x:c r="K287" s="23" t="str">
        <x:v>IH2512</x:v>
      </x:c>
    </x:row>
    <x:row r="288">
      <x:c r="A288" s="23" t="n">
        <x:v>9</x:v>
      </x:c>
      <x:c r="B288" s="23" t="str">
        <x:v>周四</x:v>
      </x:c>
      <x:c r="C288" s="23" t="str">
        <x:v>12月11日</x:v>
      </x:c>
      <x:c r="D288" s="24" t="n">
        <x:v>2990</x:v>
      </x:c>
      <x:c r="E288" s="24" t="n">
        <x:v>2992.6</x:v>
      </x:c>
      <x:c r="F288" s="24" t="n">
        <x:v>2958.2</x:v>
      </x:c>
      <x:c r="G288" s="24" t="n">
        <x:v>2969.8</x:v>
      </x:c>
      <x:c r="H288" s="24"/>
      <x:c r="I288" s="25" t="n">
        <x:v>-0.003690284487385953</x:v>
      </x:c>
      <x:c r="J288" s="24" t="n">
        <x:f>ROUND(E288-F288,1)</x:f>
        <x:v>34.4</x:v>
      </x:c>
      <x:c r="K288" s="23" t="str">
        <x:v>IH2512</x:v>
      </x:c>
    </x:row>
    <x:row r="289">
      <x:c r="A289" s="23" t="n">
        <x:v>10</x:v>
      </x:c>
      <x:c r="B289" s="23" t="str">
        <x:v>周五</x:v>
      </x:c>
      <x:c r="C289" s="23" t="str">
        <x:v>12月12日</x:v>
      </x:c>
      <x:c r="D289" s="24" t="n">
        <x:v>2975</x:v>
      </x:c>
      <x:c r="E289" s="24" t="n">
        <x:v>2990.4</x:v>
      </x:c>
      <x:c r="F289" s="24" t="n">
        <x:v>2961.2</x:v>
      </x:c>
      <x:c r="G289" s="24" t="n">
        <x:v>2986.8</x:v>
      </x:c>
      <x:c r="H289" s="24"/>
      <x:c r="I289" s="25" t="n">
        <x:v>0.005724291198060394</x:v>
      </x:c>
      <x:c r="J289" s="24" t="n">
        <x:f>ROUND(E289-F289,1)</x:f>
        <x:v>29.2</x:v>
      </x:c>
      <x:c r="K289" s="23" t="str">
        <x:v>IH2512</x:v>
      </x:c>
    </x:row>
    <x:row r="290">
      <x:c r="A290" s="23" t="n">
        <x:v>11</x:v>
      </x:c>
      <x:c r="B290" s="23" t="str">
        <x:v>周一</x:v>
      </x:c>
      <x:c r="C290" s="23" t="str">
        <x:v>12月15日</x:v>
      </x:c>
      <x:c r="D290" s="24" t="n">
        <x:v>2980</x:v>
      </x:c>
      <x:c r="E290" s="24" t="n">
        <x:v>3014.6</x:v>
      </x:c>
      <x:c r="F290" s="24" t="n">
        <x:v>2974</x:v>
      </x:c>
      <x:c r="G290" s="24" t="n">
        <x:v>2983.8</x:v>
      </x:c>
      <x:c r="H290" s="24"/>
      <x:c r="I290" s="25" t="n">
        <x:v>-0.0010044194455605115</x:v>
      </x:c>
      <x:c r="J290" s="24" t="n">
        <x:f>ROUND(E290-F290,1)</x:f>
        <x:v>40.6</x:v>
      </x:c>
      <x:c r="K290" s="23" t="str">
        <x:v>IH2512</x:v>
      </x:c>
    </x:row>
    <x:row r="291">
      <x:c r="A291" s="23" t="n">
        <x:v>12</x:v>
      </x:c>
      <x:c r="B291" s="23" t="str">
        <x:v>周二</x:v>
      </x:c>
      <x:c r="C291" s="23" t="str">
        <x:v>12月16日</x:v>
      </x:c>
      <x:c r="D291" s="24" t="n">
        <x:v>2979.8</x:v>
      </x:c>
      <x:c r="E291" s="24" t="n">
        <x:v>2983.6</x:v>
      </x:c>
      <x:c r="F291" s="24" t="n">
        <x:v>2936.2</x:v>
      </x:c>
      <x:c r="G291" s="24" t="n">
        <x:v>2951.4</x:v>
      </x:c>
      <x:c r="H291" s="24"/>
      <x:c r="I291" s="25" t="n">
        <x:v>-0.010858636637844366</x:v>
      </x:c>
      <x:c r="J291" s="24" t="n">
        <x:f>ROUND(E291-F291,1)</x:f>
        <x:v>47.4</x:v>
      </x:c>
      <x:c r="K291" s="23" t="str">
        <x:v>IH2512</x:v>
      </x:c>
    </x:row>
    <x:row r="292">
      <x:c r="A292" s="23" t="n">
        <x:v>13</x:v>
      </x:c>
      <x:c r="B292" s="23" t="str">
        <x:v>周三</x:v>
      </x:c>
      <x:c r="C292" s="23" t="str">
        <x:v>12月17日</x:v>
      </x:c>
      <x:c r="D292" s="24" t="n">
        <x:v>2947.8</x:v>
      </x:c>
      <x:c r="E292" s="24" t="n">
        <x:v>3006</x:v>
      </x:c>
      <x:c r="F292" s="24" t="n">
        <x:v>2944</x:v>
      </x:c>
      <x:c r="G292" s="24" t="n">
        <x:v>2987.2</x:v>
      </x:c>
      <x:c r="H292" s="24"/>
      <x:c r="I292" s="25" t="n">
        <x:v>0.00989360981229237</x:v>
      </x:c>
      <x:c r="J292" s="29" t="n">
        <x:f>ROUND(E292-F292,1)</x:f>
        <x:v>62</x:v>
      </x:c>
      <x:c r="K292" s="23" t="str">
        <x:v>IH2512</x:v>
      </x:c>
    </x:row>
    <x:row r="293">
      <x:c r="A293" s="23" t="n">
        <x:v>14</x:v>
      </x:c>
      <x:c r="B293" s="23" t="str">
        <x:v>周四</x:v>
      </x:c>
      <x:c r="C293" s="23" t="str">
        <x:v>12月18日</x:v>
      </x:c>
      <x:c r="D293" s="24" t="n">
        <x:v>2981.2</x:v>
      </x:c>
      <x:c r="E293" s="24" t="n">
        <x:v>2999.6</x:v>
      </x:c>
      <x:c r="F293" s="24" t="n">
        <x:v>2976.4</x:v>
      </x:c>
      <x:c r="G293" s="24" t="n">
        <x:v>2995</x:v>
      </x:c>
      <x:c r="H293" s="24"/>
      <x:c r="I293" s="25" t="n">
        <x:v>0.0018117157619270685</x:v>
      </x:c>
      <x:c r="J293" s="24" t="n">
        <x:f>ROUND(E293-F293,1)</x:f>
        <x:v>23.2</x:v>
      </x:c>
      <x:c r="K293" s="23" t="str">
        <x:v>IH2512</x:v>
      </x:c>
    </x:row>
    <x:row r="294">
      <x:c r="A294" s="33" t="n">
        <x:v>15</x:v>
      </x:c>
      <x:c r="B294" s="33" t="str">
        <x:v>周五</x:v>
      </x:c>
      <x:c r="C294" s="33" t="str">
        <x:v>12月19日</x:v>
      </x:c>
      <x:c r="D294" s="34" t="n">
        <x:v>2998</x:v>
      </x:c>
      <x:c r="E294" s="34" t="n">
        <x:v>3021.2</x:v>
      </x:c>
      <x:c r="F294" s="34" t="n">
        <x:v>2986</x:v>
      </x:c>
      <x:c r="G294" s="34" t="n">
        <x:v>3004</x:v>
      </x:c>
      <x:c r="H294" s="34"/>
      <x:c r="I294" s="35" t="n">
        <x:v>0.0068318821165438415</x:v>
      </x:c>
      <x:c r="J294" s="34" t="n">
        <x:f>ROUND(E294-F294,1)</x:f>
        <x:v>35.2</x:v>
      </x:c>
      <x:c r="K294" s="33" t="str">
        <x:v>IH2512</x:v>
      </x:c>
    </x:row>
    <x:row r="295">
      <x:c r="A295" s="23" t="n">
        <x:v>16</x:v>
      </x:c>
      <x:c r="B295" s="23" t="str">
        <x:v>周一</x:v>
      </x:c>
      <x:c r="C295" s="23" t="str">
        <x:v>12月22日</x:v>
      </x:c>
      <x:c r="D295" s="24" t="n">
        <x:v>3011</x:v>
      </x:c>
      <x:c r="E295" s="24" t="n">
        <x:v>3028.4</x:v>
      </x:c>
      <x:c r="F295" s="24" t="n">
        <x:v>3010.8</x:v>
      </x:c>
      <x:c r="G295" s="24" t="n">
        <x:v>3018.4</x:v>
      </x:c>
      <x:c r="H295" s="24"/>
      <x:c r="I295" s="25" t="n">
        <x:v>0.003991484832357672</x:v>
      </x:c>
      <x:c r="J295" s="24" t="n">
        <x:f>ROUND(E295-F295,1)</x:f>
        <x:v>17.6</x:v>
      </x:c>
      <x:c r="K295" s="23" t="str">
        <x:v>IH2603</x:v>
      </x:c>
    </x:row>
    <x:row r="296">
      <x:c r="A296" s="23" t="n">
        <x:v>17</x:v>
      </x:c>
      <x:c r="B296" s="23" t="str">
        <x:v>周二</x:v>
      </x:c>
      <x:c r="C296" s="23" t="str">
        <x:v>12月23日</x:v>
      </x:c>
      <x:c r="D296" s="24" t="n">
        <x:v>3020.8</x:v>
      </x:c>
      <x:c r="E296" s="24" t="n">
        <x:v>3038.8</x:v>
      </x:c>
      <x:c r="F296" s="24" t="n">
        <x:v>3015.2</x:v>
      </x:c>
      <x:c r="G296" s="24" t="n">
        <x:v>3025.6</x:v>
      </x:c>
      <x:c r="H296" s="24"/>
      <x:c r="I296" s="25" t="n">
        <x:v>0.0023853697323084067</x:v>
      </x:c>
      <x:c r="J296" s="24" t="n">
        <x:f>ROUND(E296-F296,1)</x:f>
        <x:v>23.6</x:v>
      </x:c>
      <x:c r="K296" s="23" t="str">
        <x:v>IH2603</x:v>
      </x:c>
    </x:row>
    <x:row r="297">
      <x:c r="A297" s="23" t="n">
        <x:v>18</x:v>
      </x:c>
      <x:c r="B297" s="23" t="str">
        <x:v>周三</x:v>
      </x:c>
      <x:c r="C297" s="23" t="str">
        <x:v>12月24日</x:v>
      </x:c>
      <x:c r="D297" s="24" t="n">
        <x:v>3025</x:v>
      </x:c>
      <x:c r="E297" s="24" t="n">
        <x:v>3033.2</x:v>
      </x:c>
      <x:c r="F297" s="24" t="n">
        <x:v>3012.2</x:v>
      </x:c>
      <x:c r="G297" s="24" t="n">
        <x:v>3027</x:v>
      </x:c>
      <x:c r="H297" s="24"/>
      <x:c r="I297" s="25" t="n">
        <x:v>0.0004627181385510326</x:v>
      </x:c>
      <x:c r="J297" s="24" t="n">
        <x:f>ROUND(E297-F297,1)</x:f>
        <x:v>21</x:v>
      </x:c>
      <x:c r="K297" s="23" t="str">
        <x:v>IH2603</x:v>
      </x:c>
    </x:row>
    <x:row r="298">
      <x:c r="A298" s="23" t="n">
        <x:v>19</x:v>
      </x:c>
      <x:c r="B298" s="23" t="str">
        <x:v>周四</x:v>
      </x:c>
      <x:c r="C298" s="23" t="str">
        <x:v>12月25日</x:v>
      </x:c>
      <x:c r="D298" s="24" t="n">
        <x:v>3026</x:v>
      </x:c>
      <x:c r="E298" s="24" t="n">
        <x:v>3040.6</x:v>
      </x:c>
      <x:c r="F298" s="24" t="n">
        <x:v>3018</x:v>
      </x:c>
      <x:c r="G298" s="24" t="n">
        <x:v>3034</x:v>
      </x:c>
      <x:c r="H298" s="24"/>
      <x:c r="I298" s="25" t="n">
        <x:v>0.002312520647505867</x:v>
      </x:c>
      <x:c r="J298" s="24" t="n">
        <x:f>ROUND(E298-F298,1)</x:f>
        <x:v>22.6</x:v>
      </x:c>
      <x:c r="K298" s="23" t="str">
        <x:v>IH2603</x:v>
      </x:c>
    </x:row>
    <x:row r="299">
      <x:c r="A299" s="23" t="n">
        <x:v>20</x:v>
      </x:c>
      <x:c r="B299" s="23" t="str">
        <x:v>周五</x:v>
      </x:c>
      <x:c r="C299" s="23" t="str">
        <x:v>12月26日</x:v>
      </x:c>
      <x:c r="D299" s="24" t="n">
        <x:v>3034</x:v>
      </x:c>
      <x:c r="E299" s="24" t="n">
        <x:v>3066.6</x:v>
      </x:c>
      <x:c r="F299" s="24" t="n">
        <x:v>3034</x:v>
      </x:c>
      <x:c r="G299" s="24" t="n">
        <x:v>3051.4</x:v>
      </x:c>
      <x:c r="H299" s="24"/>
      <x:c r="I299" s="25" t="n">
        <x:v>0.005735003295978869</x:v>
      </x:c>
      <x:c r="J299" s="24" t="n">
        <x:f>ROUND(E299-F299,1)</x:f>
        <x:v>32.6</x:v>
      </x:c>
      <x:c r="K299" s="23" t="str">
        <x:v>IH2603</x:v>
      </x:c>
    </x:row>
    <x:row r="300">
      <x:c r="A300" s="23" t="n">
        <x:v>21</x:v>
      </x:c>
      <x:c r="B300" s="23" t="str">
        <x:v>周一</x:v>
      </x:c>
      <x:c r="C300" s="23" t="str">
        <x:v>12月29日</x:v>
      </x:c>
      <x:c r="D300" s="24" t="n">
        <x:v>3050</x:v>
      </x:c>
      <x:c r="E300" s="24" t="n">
        <x:v>3060.6</x:v>
      </x:c>
      <x:c r="F300" s="24" t="n">
        <x:v>3030.4</x:v>
      </x:c>
      <x:c r="G300" s="24" t="n">
        <x:v>3038</x:v>
      </x:c>
      <x:c r="H300" s="24"/>
      <x:c r="I300" s="25" t="n">
        <x:v>-0.004391426886019567</x:v>
      </x:c>
      <x:c r="J300" s="24" t="n">
        <x:f>ROUND(E300-F300,1)</x:f>
        <x:v>30.2</x:v>
      </x:c>
      <x:c r="K300" s="23" t="str">
        <x:v>IH2603</x:v>
      </x:c>
    </x:row>
    <x:row r="301">
      <x:c r="A301" s="23" t="n">
        <x:v>22</x:v>
      </x:c>
      <x:c r="B301" s="23" t="str">
        <x:v>周二</x:v>
      </x:c>
      <x:c r="C301" s="23" t="str">
        <x:v>12月30日</x:v>
      </x:c>
      <x:c r="D301" s="24" t="n">
        <x:v>3030.4</x:v>
      </x:c>
      <x:c r="E301" s="24" t="n">
        <x:v>3054</x:v>
      </x:c>
      <x:c r="F301" s="24" t="n">
        <x:v>3024</x:v>
      </x:c>
      <x:c r="G301" s="24" t="n">
        <x:v>3035.4</x:v>
      </x:c>
      <x:c r="H301" s="24"/>
      <x:c r="I301" s="25" t="n">
        <x:v>-0.0008558262014483065</x:v>
      </x:c>
      <x:c r="J301" s="24" t="n">
        <x:f>ROUND(E301-F301,1)</x:f>
        <x:v>30</x:v>
      </x:c>
      <x:c r="K301" s="23" t="str">
        <x:v>IH2603</x:v>
      </x:c>
    </x:row>
    <x:row r="302">
      <x:c r="A302" s="23" t="n">
        <x:v>23</x:v>
      </x:c>
      <x:c r="B302" s="23" t="str">
        <x:v>周三</x:v>
      </x:c>
      <x:c r="C302" s="23" t="str">
        <x:v>12月31日</x:v>
      </x:c>
      <x:c r="D302" s="24" t="n">
        <x:v>3033</x:v>
      </x:c>
      <x:c r="E302" s="24" t="n">
        <x:v>3046.8</x:v>
      </x:c>
      <x:c r="F302" s="24" t="n">
        <x:v>3015</x:v>
      </x:c>
      <x:c r="G302" s="24" t="n">
        <x:v>3025</x:v>
      </x:c>
      <x:c r="H302" s="24"/>
      <x:c r="I302" s="25" t="n">
        <x:v>-0.0034262370692496047</x:v>
      </x:c>
      <x:c r="J302" s="24" t="n">
        <x:f>ROUND(E302-F302,1)</x:f>
        <x:v>31.8</x:v>
      </x:c>
      <x:c r="K302" s="23" t="str">
        <x:v>IH2603</x:v>
      </x:c>
    </x:row>
    <x:row r="303">
      <x:c r="A303" s="38" t="str">
        <x:v>合计</x:v>
      </x:c>
      <x:c r="B303" s="37" t="n">
        <x:v>23</x:v>
      </x:c>
      <x:c r="C303" s="37"/>
      <x:c r="D303" s="37"/>
      <x:c r="E303" s="37"/>
      <x:c r="F303" s="37"/>
      <x:c r="G303" s="37"/>
      <x:c r="H303" s="37"/>
      <x:c r="I303" s="37"/>
      <x:c r="J303" s="39" t="n">
        <x:f>ROUND(SUM(J280:J302),1)</x:f>
        <x:v>713.2</x:v>
      </x:c>
      <x:c r="K303" s="37"/>
    </x:row>
    <x:row r="304">
      <x:c r="A304" s="38" t="str">
        <x:v>均值</x:v>
      </x:c>
      <x:c r="B304" s="37"/>
      <x:c r="C304" s="37"/>
      <x:c r="D304" s="37"/>
      <x:c r="E304" s="37"/>
      <x:c r="F304" s="37"/>
      <x:c r="G304" s="37"/>
      <x:c r="H304" s="37"/>
      <x:c r="I304" s="37"/>
      <x:c r="J304" s="41" t="n">
        <x:f>ROUND(IFERROR(AVERAGE(J280:J302),0),1)</x:f>
        <x:v>31</x:v>
      </x:c>
      <x:c r="K304" s="37"/>
    </x:row>
  </x:sheetData>
  <x:mergeCells>
    <x:mergeCell ref="A1:K1"/>
    <x:mergeCell ref="A3:K3"/>
    <x:mergeCell ref="A26:K26"/>
    <x:mergeCell ref="A49:K49"/>
    <x:mergeCell ref="A75:K75"/>
    <x:mergeCell ref="A101:K101"/>
    <x:mergeCell ref="A125:K125"/>
    <x:mergeCell ref="A150:K150"/>
    <x:mergeCell ref="A178:K178"/>
    <x:mergeCell ref="A204:K204"/>
    <x:mergeCell ref="A231:K231"/>
    <x:mergeCell ref="A253:K253"/>
    <x:mergeCell ref="A278:K278"/>
  </x:mergeCells>
  <x:pageMargins left="0.7" right="0.7" top="0.75" bottom="0.75" header="0.3" footer="0.3"/>
</x:worksheet>
</file>